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m Vaish\Desktop\"/>
    </mc:Choice>
  </mc:AlternateContent>
  <xr:revisionPtr revIDLastSave="0" documentId="13_ncr:1_{054371C7-E2E7-42B1-976B-189B09A0138A}" xr6:coauthVersionLast="47" xr6:coauthVersionMax="47" xr10:uidLastSave="{00000000-0000-0000-0000-000000000000}"/>
  <bookViews>
    <workbookView xWindow="-110" yWindow="-110" windowWidth="19420" windowHeight="10300" firstSheet="1" activeTab="1" xr2:uid="{BEF7B89C-4CEA-429B-B8EA-14478B936AFA}"/>
  </bookViews>
  <sheets>
    <sheet name="DCF&gt;" sheetId="7" r:id="rId1"/>
    <sheet name="WACC" sheetId="6" r:id="rId2"/>
    <sheet name="Sheet1" sheetId="14" r:id="rId3"/>
    <sheet name="Data&gt;" sheetId="4" r:id="rId4"/>
    <sheet name="Beta Comps" sheetId="8" r:id="rId5"/>
    <sheet name="RM" sheetId="12" r:id="rId6"/>
    <sheet name="Intrinsic Growth" sheetId="13" r:id="rId7"/>
    <sheet name="DCF" sheetId="15" r:id="rId8"/>
    <sheet name="Raw FS" sheetId="11" r:id="rId9"/>
    <sheet name="Historical FS" sheetId="3" r:id="rId10"/>
    <sheet name="Financials&gt;" sheetId="2" r:id="rId11"/>
    <sheet name="Data Room&gt;" sheetId="10" r:id="rId12"/>
    <sheet name="Data Sheet" sheetId="1" r:id="rId13"/>
    <sheet name="Cash Flow Data" sheetId="5" r:id="rId14"/>
  </sheets>
  <externalReferences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6" i="6" l="1"/>
  <c r="D47" i="15"/>
  <c r="D45" i="15"/>
  <c r="D44" i="15"/>
  <c r="D34" i="15"/>
  <c r="H18" i="15"/>
  <c r="I18" i="15" s="1"/>
  <c r="J18" i="15" s="1"/>
  <c r="K18" i="15" s="1"/>
  <c r="F8" i="15"/>
  <c r="G8" i="15" s="1"/>
  <c r="H8" i="15" s="1"/>
  <c r="I8" i="15" s="1"/>
  <c r="J8" i="15" s="1"/>
  <c r="K8" i="15" s="1"/>
  <c r="C36" i="6"/>
  <c r="C35" i="6"/>
  <c r="E26" i="6"/>
  <c r="F14" i="15"/>
  <c r="G14" i="15" s="1"/>
  <c r="H14" i="15" s="1"/>
  <c r="I14" i="15" s="1"/>
  <c r="J14" i="15" s="1"/>
  <c r="F10" i="15"/>
  <c r="G10" i="15"/>
  <c r="H10" i="15"/>
  <c r="I10" i="15"/>
  <c r="J10" i="15"/>
  <c r="K10" i="15"/>
  <c r="F6" i="15"/>
  <c r="G6" i="15" s="1"/>
  <c r="H6" i="15" s="1"/>
  <c r="I6" i="15" s="1"/>
  <c r="G9" i="13" a="1"/>
  <c r="G9" i="13" s="1"/>
  <c r="G59" i="13"/>
  <c r="H45" i="13"/>
  <c r="I45" i="13"/>
  <c r="J45" i="13"/>
  <c r="K45" i="13"/>
  <c r="G45" i="13"/>
  <c r="G6" i="13" a="1"/>
  <c r="G6" i="13" s="1"/>
  <c r="G43" i="13" s="1"/>
  <c r="G10" i="13" a="1"/>
  <c r="G10" i="13" s="1"/>
  <c r="G11" i="13" a="1"/>
  <c r="G11" i="13" s="1"/>
  <c r="G16" i="13" a="1"/>
  <c r="G16" i="13" s="1"/>
  <c r="G19" i="13" s="1"/>
  <c r="G24" i="13" a="1"/>
  <c r="G24" i="13" s="1"/>
  <c r="G25" i="13" a="1"/>
  <c r="G25" i="13" s="1"/>
  <c r="G26" i="13" a="1"/>
  <c r="G26" i="13" s="1"/>
  <c r="G27" i="13" a="1"/>
  <c r="G27" i="13" s="1"/>
  <c r="G28" i="13" a="1"/>
  <c r="G28" i="13"/>
  <c r="G29" i="13" a="1"/>
  <c r="G29" i="13" s="1"/>
  <c r="G30" i="13" a="1"/>
  <c r="G30" i="13" s="1"/>
  <c r="G31" i="13" a="1"/>
  <c r="G31" i="13" s="1"/>
  <c r="G32" i="13" a="1"/>
  <c r="G32" i="13" s="1"/>
  <c r="G34" i="13" a="1"/>
  <c r="G34" i="13" s="1"/>
  <c r="G35" i="13" a="1"/>
  <c r="G35" i="13" s="1"/>
  <c r="G39" i="13"/>
  <c r="G48" i="13" s="1"/>
  <c r="G50" i="13" s="1"/>
  <c r="H39" i="13"/>
  <c r="H48" i="13" s="1"/>
  <c r="H50" i="13" s="1"/>
  <c r="I39" i="13"/>
  <c r="I48" i="13" s="1"/>
  <c r="I50" i="13" s="1"/>
  <c r="J39" i="13"/>
  <c r="J48" i="13" s="1"/>
  <c r="J50" i="13" s="1"/>
  <c r="K39" i="13"/>
  <c r="K48" i="13" s="1"/>
  <c r="K50" i="13" s="1"/>
  <c r="B34" i="13"/>
  <c r="B24" i="13" a="1"/>
  <c r="B24" i="13" s="1"/>
  <c r="B16" i="13" a="1"/>
  <c r="B16" i="13" s="1"/>
  <c r="B11" i="13" a="1"/>
  <c r="B11" i="13" s="1"/>
  <c r="B9" i="13" a="1"/>
  <c r="B9" i="13" s="1"/>
  <c r="D30" i="11"/>
  <c r="E30" i="11"/>
  <c r="F30" i="11"/>
  <c r="G30" i="11"/>
  <c r="H30" i="11"/>
  <c r="I30" i="11"/>
  <c r="J30" i="11"/>
  <c r="K30" i="11"/>
  <c r="L30" i="11"/>
  <c r="M30" i="11"/>
  <c r="N30" i="11"/>
  <c r="C30" i="11"/>
  <c r="F10" i="12"/>
  <c r="F8" i="12"/>
  <c r="E28" i="6"/>
  <c r="K44" i="6" s="1"/>
  <c r="K27" i="6"/>
  <c r="J21" i="6"/>
  <c r="G21" i="6"/>
  <c r="J20" i="6"/>
  <c r="G20" i="6"/>
  <c r="F18" i="6"/>
  <c r="E18" i="6"/>
  <c r="I18" i="6" s="1"/>
  <c r="I17" i="6"/>
  <c r="H17" i="6"/>
  <c r="K17" i="6" s="1"/>
  <c r="F17" i="6"/>
  <c r="E17" i="6"/>
  <c r="I16" i="6"/>
  <c r="H16" i="6"/>
  <c r="K16" i="6" s="1"/>
  <c r="F16" i="6"/>
  <c r="E16" i="6"/>
  <c r="F15" i="6"/>
  <c r="E15" i="6"/>
  <c r="I15" i="6" s="1"/>
  <c r="F14" i="6"/>
  <c r="E14" i="6"/>
  <c r="H14" i="6" s="1"/>
  <c r="K12" i="15" l="1"/>
  <c r="K16" i="15" s="1"/>
  <c r="D32" i="15" s="1"/>
  <c r="J12" i="15"/>
  <c r="J16" i="15" s="1"/>
  <c r="F12" i="15"/>
  <c r="F16" i="15" s="1"/>
  <c r="I12" i="15"/>
  <c r="I16" i="15" s="1"/>
  <c r="H12" i="15"/>
  <c r="H16" i="15" s="1"/>
  <c r="G12" i="15"/>
  <c r="G16" i="15" s="1"/>
  <c r="J6" i="15"/>
  <c r="K6" i="15" s="1"/>
  <c r="K13" i="13"/>
  <c r="H13" i="13"/>
  <c r="J43" i="13"/>
  <c r="J59" i="13" s="1"/>
  <c r="I43" i="13"/>
  <c r="I59" i="13" s="1"/>
  <c r="K43" i="13"/>
  <c r="K59" i="13" s="1"/>
  <c r="H36" i="13"/>
  <c r="H43" i="13"/>
  <c r="H59" i="13" s="1"/>
  <c r="J13" i="13"/>
  <c r="I13" i="13"/>
  <c r="J19" i="13"/>
  <c r="I19" i="13"/>
  <c r="I21" i="13" s="1"/>
  <c r="K19" i="13"/>
  <c r="G36" i="13"/>
  <c r="G13" i="13"/>
  <c r="G21" i="13" s="1"/>
  <c r="H19" i="13"/>
  <c r="I36" i="13"/>
  <c r="J36" i="13"/>
  <c r="K36" i="13"/>
  <c r="K14" i="6"/>
  <c r="I14" i="6"/>
  <c r="H15" i="6"/>
  <c r="K15" i="6" s="1"/>
  <c r="H18" i="6"/>
  <c r="K18" i="6" s="1"/>
  <c r="J21" i="13" l="1"/>
  <c r="J46" i="13" s="1"/>
  <c r="J52" i="13" s="1"/>
  <c r="J54" i="13" s="1"/>
  <c r="J61" i="13" s="1"/>
  <c r="K21" i="13"/>
  <c r="H21" i="13"/>
  <c r="H46" i="13" s="1"/>
  <c r="H52" i="13" s="1"/>
  <c r="H54" i="13" s="1"/>
  <c r="H61" i="13" s="1"/>
  <c r="H38" i="13"/>
  <c r="H41" i="13" s="1"/>
  <c r="H62" i="13" s="1"/>
  <c r="I38" i="13"/>
  <c r="I41" i="13" s="1"/>
  <c r="I62" i="13" s="1"/>
  <c r="K38" i="13"/>
  <c r="K41" i="13" s="1"/>
  <c r="K62" i="13" s="1"/>
  <c r="G38" i="13"/>
  <c r="G41" i="13" s="1"/>
  <c r="C37" i="6"/>
  <c r="I21" i="6"/>
  <c r="I20" i="6"/>
  <c r="E35" i="6" s="1"/>
  <c r="H20" i="6"/>
  <c r="K20" i="6"/>
  <c r="K21" i="6"/>
  <c r="K34" i="6" s="1"/>
  <c r="H21" i="6"/>
  <c r="H64" i="13" l="1"/>
  <c r="I46" i="13"/>
  <c r="I52" i="13" s="1"/>
  <c r="I54" i="13" s="1"/>
  <c r="I61" i="13" s="1"/>
  <c r="I64" i="13" s="1"/>
  <c r="J38" i="13"/>
  <c r="J41" i="13" s="1"/>
  <c r="J62" i="13" s="1"/>
  <c r="J64" i="13" s="1"/>
  <c r="K46" i="13"/>
  <c r="K52" i="13" s="1"/>
  <c r="K54" i="13" s="1"/>
  <c r="K45" i="6"/>
  <c r="D37" i="6"/>
  <c r="E37" i="6" s="1"/>
  <c r="E36" i="6" s="1"/>
  <c r="K42" i="6" s="1"/>
  <c r="D36" i="6"/>
  <c r="D35" i="6"/>
  <c r="D102" i="3"/>
  <c r="E102" i="3"/>
  <c r="F102" i="3"/>
  <c r="G102" i="3"/>
  <c r="H102" i="3"/>
  <c r="I102" i="3"/>
  <c r="J102" i="3"/>
  <c r="K102" i="3"/>
  <c r="L102" i="3"/>
  <c r="D101" i="3"/>
  <c r="E101" i="3"/>
  <c r="F101" i="3"/>
  <c r="G101" i="3"/>
  <c r="H101" i="3"/>
  <c r="I101" i="3"/>
  <c r="J101" i="3"/>
  <c r="K101" i="3"/>
  <c r="L101" i="3"/>
  <c r="D100" i="3"/>
  <c r="E100" i="3"/>
  <c r="F100" i="3"/>
  <c r="G100" i="3"/>
  <c r="H100" i="3"/>
  <c r="I100" i="3"/>
  <c r="J100" i="3"/>
  <c r="K100" i="3"/>
  <c r="L100" i="3"/>
  <c r="D99" i="3"/>
  <c r="E99" i="3"/>
  <c r="F99" i="3"/>
  <c r="G99" i="3"/>
  <c r="H99" i="3"/>
  <c r="I99" i="3"/>
  <c r="J99" i="3"/>
  <c r="K99" i="3"/>
  <c r="L99" i="3"/>
  <c r="D98" i="3"/>
  <c r="E98" i="3"/>
  <c r="F98" i="3"/>
  <c r="G98" i="3"/>
  <c r="H98" i="3"/>
  <c r="I98" i="3"/>
  <c r="J98" i="3"/>
  <c r="K98" i="3"/>
  <c r="L98" i="3"/>
  <c r="D97" i="3"/>
  <c r="E97" i="3"/>
  <c r="F97" i="3"/>
  <c r="G97" i="3"/>
  <c r="H97" i="3"/>
  <c r="I97" i="3"/>
  <c r="J97" i="3"/>
  <c r="K97" i="3"/>
  <c r="L97" i="3"/>
  <c r="D96" i="3"/>
  <c r="E96" i="3"/>
  <c r="F96" i="3"/>
  <c r="G96" i="3"/>
  <c r="H96" i="3"/>
  <c r="I96" i="3"/>
  <c r="J96" i="3"/>
  <c r="K96" i="3"/>
  <c r="L96" i="3"/>
  <c r="C96" i="3"/>
  <c r="C97" i="3"/>
  <c r="C98" i="3"/>
  <c r="C99" i="3"/>
  <c r="C100" i="3"/>
  <c r="C101" i="3"/>
  <c r="C102" i="3"/>
  <c r="D95" i="3"/>
  <c r="E95" i="3"/>
  <c r="F95" i="3"/>
  <c r="G95" i="3"/>
  <c r="H95" i="3"/>
  <c r="I95" i="3"/>
  <c r="J95" i="3"/>
  <c r="K95" i="3"/>
  <c r="L95" i="3"/>
  <c r="C95" i="3"/>
  <c r="D91" i="3"/>
  <c r="E91" i="3"/>
  <c r="F91" i="3"/>
  <c r="G91" i="3"/>
  <c r="H91" i="3"/>
  <c r="I91" i="3"/>
  <c r="J91" i="3"/>
  <c r="K91" i="3"/>
  <c r="L91" i="3"/>
  <c r="D90" i="3"/>
  <c r="E90" i="3"/>
  <c r="F90" i="3"/>
  <c r="G90" i="3"/>
  <c r="H90" i="3"/>
  <c r="I90" i="3"/>
  <c r="J90" i="3"/>
  <c r="K90" i="3"/>
  <c r="L90" i="3"/>
  <c r="D89" i="3"/>
  <c r="E89" i="3"/>
  <c r="F89" i="3"/>
  <c r="G89" i="3"/>
  <c r="H89" i="3"/>
  <c r="I89" i="3"/>
  <c r="J89" i="3"/>
  <c r="K89" i="3"/>
  <c r="L89" i="3"/>
  <c r="D88" i="3"/>
  <c r="E88" i="3"/>
  <c r="F88" i="3"/>
  <c r="G88" i="3"/>
  <c r="H88" i="3"/>
  <c r="I88" i="3"/>
  <c r="J88" i="3"/>
  <c r="K88" i="3"/>
  <c r="L88" i="3"/>
  <c r="D87" i="3"/>
  <c r="E87" i="3"/>
  <c r="F87" i="3"/>
  <c r="G87" i="3"/>
  <c r="H87" i="3"/>
  <c r="I87" i="3"/>
  <c r="J87" i="3"/>
  <c r="K87" i="3"/>
  <c r="L87" i="3"/>
  <c r="D86" i="3"/>
  <c r="E86" i="3"/>
  <c r="F86" i="3"/>
  <c r="G86" i="3"/>
  <c r="H86" i="3"/>
  <c r="I86" i="3"/>
  <c r="J86" i="3"/>
  <c r="K86" i="3"/>
  <c r="L86" i="3"/>
  <c r="D85" i="3"/>
  <c r="E85" i="3"/>
  <c r="F85" i="3"/>
  <c r="G85" i="3"/>
  <c r="H85" i="3"/>
  <c r="I85" i="3"/>
  <c r="J85" i="3"/>
  <c r="K85" i="3"/>
  <c r="L85" i="3"/>
  <c r="D84" i="3"/>
  <c r="E84" i="3"/>
  <c r="F84" i="3"/>
  <c r="G84" i="3"/>
  <c r="H84" i="3"/>
  <c r="I84" i="3"/>
  <c r="J84" i="3"/>
  <c r="K84" i="3"/>
  <c r="L84" i="3"/>
  <c r="D83" i="3"/>
  <c r="E83" i="3"/>
  <c r="F83" i="3"/>
  <c r="G83" i="3"/>
  <c r="H83" i="3"/>
  <c r="I83" i="3"/>
  <c r="J83" i="3"/>
  <c r="K83" i="3"/>
  <c r="L83" i="3"/>
  <c r="D82" i="3"/>
  <c r="E82" i="3"/>
  <c r="F82" i="3"/>
  <c r="G82" i="3"/>
  <c r="H82" i="3"/>
  <c r="I82" i="3"/>
  <c r="J82" i="3"/>
  <c r="K82" i="3"/>
  <c r="L82" i="3"/>
  <c r="C82" i="3"/>
  <c r="C83" i="3"/>
  <c r="C84" i="3"/>
  <c r="C85" i="3"/>
  <c r="C86" i="3"/>
  <c r="C87" i="3"/>
  <c r="C88" i="3"/>
  <c r="C89" i="3"/>
  <c r="C90" i="3"/>
  <c r="C91" i="3"/>
  <c r="D81" i="3"/>
  <c r="E81" i="3"/>
  <c r="F81" i="3"/>
  <c r="G81" i="3"/>
  <c r="H81" i="3"/>
  <c r="I81" i="3"/>
  <c r="J81" i="3"/>
  <c r="K81" i="3"/>
  <c r="L81" i="3"/>
  <c r="C81" i="3"/>
  <c r="D77" i="3"/>
  <c r="E77" i="3"/>
  <c r="F77" i="3"/>
  <c r="G77" i="3"/>
  <c r="H77" i="3"/>
  <c r="I77" i="3"/>
  <c r="J77" i="3"/>
  <c r="K77" i="3"/>
  <c r="L77" i="3"/>
  <c r="D76" i="3"/>
  <c r="E76" i="3"/>
  <c r="F76" i="3"/>
  <c r="G76" i="3"/>
  <c r="H76" i="3"/>
  <c r="I76" i="3"/>
  <c r="J76" i="3"/>
  <c r="K76" i="3"/>
  <c r="L76" i="3"/>
  <c r="D75" i="3"/>
  <c r="E75" i="3"/>
  <c r="F75" i="3"/>
  <c r="G75" i="3"/>
  <c r="H75" i="3"/>
  <c r="I75" i="3"/>
  <c r="J75" i="3"/>
  <c r="K75" i="3"/>
  <c r="L75" i="3"/>
  <c r="D74" i="3"/>
  <c r="E74" i="3"/>
  <c r="F74" i="3"/>
  <c r="G74" i="3"/>
  <c r="H74" i="3"/>
  <c r="I74" i="3"/>
  <c r="J74" i="3"/>
  <c r="K74" i="3"/>
  <c r="L74" i="3"/>
  <c r="D73" i="3"/>
  <c r="E73" i="3"/>
  <c r="F73" i="3"/>
  <c r="G73" i="3"/>
  <c r="H73" i="3"/>
  <c r="I73" i="3"/>
  <c r="J73" i="3"/>
  <c r="K73" i="3"/>
  <c r="L73" i="3"/>
  <c r="D72" i="3"/>
  <c r="E72" i="3"/>
  <c r="F72" i="3"/>
  <c r="G72" i="3"/>
  <c r="H72" i="3"/>
  <c r="I72" i="3"/>
  <c r="J72" i="3"/>
  <c r="K72" i="3"/>
  <c r="L72" i="3"/>
  <c r="D71" i="3"/>
  <c r="E71" i="3"/>
  <c r="F71" i="3"/>
  <c r="G71" i="3"/>
  <c r="H71" i="3"/>
  <c r="I71" i="3"/>
  <c r="J71" i="3"/>
  <c r="K71" i="3"/>
  <c r="L71" i="3"/>
  <c r="C71" i="3"/>
  <c r="C72" i="3"/>
  <c r="C73" i="3"/>
  <c r="C74" i="3"/>
  <c r="C75" i="3"/>
  <c r="C76" i="3"/>
  <c r="C77" i="3"/>
  <c r="D70" i="3"/>
  <c r="E70" i="3"/>
  <c r="F70" i="3"/>
  <c r="G70" i="3"/>
  <c r="H70" i="3"/>
  <c r="I70" i="3"/>
  <c r="J70" i="3"/>
  <c r="K70" i="3"/>
  <c r="L70" i="3"/>
  <c r="C70" i="3"/>
  <c r="D56" i="3"/>
  <c r="E56" i="3"/>
  <c r="F56" i="3"/>
  <c r="G56" i="3"/>
  <c r="H56" i="3"/>
  <c r="I56" i="3"/>
  <c r="J56" i="3"/>
  <c r="K56" i="3"/>
  <c r="L56" i="3"/>
  <c r="C56" i="3"/>
  <c r="D61" i="3"/>
  <c r="E61" i="3"/>
  <c r="F61" i="3"/>
  <c r="G61" i="3"/>
  <c r="H61" i="3"/>
  <c r="I61" i="3"/>
  <c r="J61" i="3"/>
  <c r="K61" i="3"/>
  <c r="L61" i="3"/>
  <c r="D60" i="3"/>
  <c r="E60" i="3"/>
  <c r="F60" i="3"/>
  <c r="G60" i="3"/>
  <c r="H60" i="3"/>
  <c r="I60" i="3"/>
  <c r="J60" i="3"/>
  <c r="K60" i="3"/>
  <c r="L60" i="3"/>
  <c r="C60" i="3"/>
  <c r="C61" i="3"/>
  <c r="D59" i="3"/>
  <c r="E59" i="3"/>
  <c r="F59" i="3"/>
  <c r="G59" i="3"/>
  <c r="H59" i="3"/>
  <c r="I59" i="3"/>
  <c r="J59" i="3"/>
  <c r="K59" i="3"/>
  <c r="L59" i="3"/>
  <c r="C59" i="3"/>
  <c r="C53" i="3"/>
  <c r="D55" i="3"/>
  <c r="E55" i="3"/>
  <c r="F55" i="3"/>
  <c r="G55" i="3"/>
  <c r="H55" i="3"/>
  <c r="I55" i="3"/>
  <c r="J55" i="3"/>
  <c r="K55" i="3"/>
  <c r="L55" i="3"/>
  <c r="D54" i="3"/>
  <c r="E54" i="3"/>
  <c r="F54" i="3"/>
  <c r="G54" i="3"/>
  <c r="H54" i="3"/>
  <c r="I54" i="3"/>
  <c r="J54" i="3"/>
  <c r="K54" i="3"/>
  <c r="L54" i="3"/>
  <c r="C54" i="3"/>
  <c r="C55" i="3"/>
  <c r="D53" i="3"/>
  <c r="E53" i="3"/>
  <c r="F53" i="3"/>
  <c r="G53" i="3"/>
  <c r="H53" i="3"/>
  <c r="I53" i="3"/>
  <c r="J53" i="3"/>
  <c r="K53" i="3"/>
  <c r="L53" i="3"/>
  <c r="D51" i="3"/>
  <c r="E51" i="3"/>
  <c r="F51" i="3"/>
  <c r="G51" i="3"/>
  <c r="H51" i="3"/>
  <c r="I51" i="3"/>
  <c r="J51" i="3"/>
  <c r="K51" i="3"/>
  <c r="L51" i="3"/>
  <c r="D50" i="3"/>
  <c r="E50" i="3"/>
  <c r="F50" i="3"/>
  <c r="G50" i="3"/>
  <c r="H50" i="3"/>
  <c r="I50" i="3"/>
  <c r="J50" i="3"/>
  <c r="K50" i="3"/>
  <c r="L50" i="3"/>
  <c r="D49" i="3"/>
  <c r="E49" i="3"/>
  <c r="F49" i="3"/>
  <c r="G49" i="3"/>
  <c r="H49" i="3"/>
  <c r="I49" i="3"/>
  <c r="J49" i="3"/>
  <c r="K49" i="3"/>
  <c r="L49" i="3"/>
  <c r="D48" i="3"/>
  <c r="E48" i="3"/>
  <c r="F48" i="3"/>
  <c r="G48" i="3"/>
  <c r="H48" i="3"/>
  <c r="I48" i="3"/>
  <c r="J48" i="3"/>
  <c r="K48" i="3"/>
  <c r="L48" i="3"/>
  <c r="C48" i="3"/>
  <c r="C49" i="3"/>
  <c r="C50" i="3"/>
  <c r="C51" i="3"/>
  <c r="D47" i="3"/>
  <c r="E47" i="3"/>
  <c r="F47" i="3"/>
  <c r="G47" i="3"/>
  <c r="H47" i="3"/>
  <c r="I47" i="3"/>
  <c r="J47" i="3"/>
  <c r="K47" i="3"/>
  <c r="L47" i="3"/>
  <c r="C47" i="3"/>
  <c r="M36" i="3"/>
  <c r="M41" i="3" s="1"/>
  <c r="D36" i="3"/>
  <c r="E36" i="3"/>
  <c r="F36" i="3"/>
  <c r="G36" i="3"/>
  <c r="H36" i="3"/>
  <c r="I36" i="3"/>
  <c r="J36" i="3"/>
  <c r="K36" i="3"/>
  <c r="L36" i="3"/>
  <c r="C36" i="3"/>
  <c r="M30" i="3"/>
  <c r="D30" i="3"/>
  <c r="E30" i="3"/>
  <c r="F30" i="3"/>
  <c r="G30" i="3"/>
  <c r="H30" i="3"/>
  <c r="I30" i="3"/>
  <c r="J30" i="3"/>
  <c r="K30" i="3"/>
  <c r="L30" i="3"/>
  <c r="C30" i="3"/>
  <c r="C6" i="3"/>
  <c r="D6" i="3"/>
  <c r="E6" i="3"/>
  <c r="F6" i="3"/>
  <c r="G6" i="3"/>
  <c r="H6" i="3"/>
  <c r="I6" i="3"/>
  <c r="J6" i="3"/>
  <c r="J7" i="3" s="1"/>
  <c r="K6" i="3"/>
  <c r="L6" i="3"/>
  <c r="M6" i="3"/>
  <c r="M19" i="3" s="1"/>
  <c r="M24" i="3"/>
  <c r="D24" i="3"/>
  <c r="E24" i="3"/>
  <c r="F24" i="3"/>
  <c r="G24" i="3"/>
  <c r="H24" i="3"/>
  <c r="I24" i="3"/>
  <c r="J24" i="3"/>
  <c r="K24" i="3"/>
  <c r="L24" i="3"/>
  <c r="C24" i="3"/>
  <c r="M21" i="3"/>
  <c r="D21" i="3"/>
  <c r="E21" i="3"/>
  <c r="F21" i="3"/>
  <c r="G21" i="3"/>
  <c r="H21" i="3"/>
  <c r="I21" i="3"/>
  <c r="J21" i="3"/>
  <c r="K21" i="3"/>
  <c r="L21" i="3"/>
  <c r="C21" i="3"/>
  <c r="D15" i="3"/>
  <c r="E15" i="3"/>
  <c r="F15" i="3"/>
  <c r="G15" i="3"/>
  <c r="H15" i="3"/>
  <c r="I15" i="3"/>
  <c r="J15" i="3"/>
  <c r="K15" i="3"/>
  <c r="L15" i="3"/>
  <c r="C15" i="3"/>
  <c r="M9" i="3"/>
  <c r="D9" i="3"/>
  <c r="E9" i="3"/>
  <c r="F9" i="3"/>
  <c r="G9" i="3"/>
  <c r="H9" i="3"/>
  <c r="I9" i="3"/>
  <c r="J9" i="3"/>
  <c r="K9" i="3"/>
  <c r="L9" i="3"/>
  <c r="C9" i="3"/>
  <c r="D3" i="3"/>
  <c r="E3" i="3"/>
  <c r="F3" i="3"/>
  <c r="G3" i="3"/>
  <c r="H3" i="3"/>
  <c r="I3" i="3"/>
  <c r="J3" i="3"/>
  <c r="K3" i="3"/>
  <c r="L3" i="3"/>
  <c r="C3" i="3"/>
  <c r="B2" i="3"/>
  <c r="B6" i="1"/>
  <c r="E1" i="1"/>
  <c r="D39" i="6" l="1"/>
  <c r="K57" i="13"/>
  <c r="K61" i="13"/>
  <c r="K64" i="13" s="1"/>
  <c r="K67" i="13" s="1"/>
  <c r="K56" i="13"/>
  <c r="E39" i="6"/>
  <c r="K35" i="6" s="1"/>
  <c r="K37" i="6" s="1"/>
  <c r="K28" i="6" s="1"/>
  <c r="K29" i="6" s="1"/>
  <c r="K41" i="6" s="1"/>
  <c r="K47" i="6" s="1"/>
  <c r="D27" i="15" s="1"/>
  <c r="D41" i="3"/>
  <c r="C41" i="3"/>
  <c r="L41" i="3"/>
  <c r="K41" i="3"/>
  <c r="J41" i="3"/>
  <c r="I41" i="3"/>
  <c r="H41" i="3"/>
  <c r="G41" i="3"/>
  <c r="F41" i="3"/>
  <c r="E41" i="3"/>
  <c r="I62" i="3"/>
  <c r="G62" i="3"/>
  <c r="F62" i="3"/>
  <c r="K57" i="3"/>
  <c r="G103" i="3"/>
  <c r="K103" i="3"/>
  <c r="K62" i="3"/>
  <c r="K64" i="3" s="1"/>
  <c r="K66" i="3" s="1"/>
  <c r="F92" i="3"/>
  <c r="F103" i="3"/>
  <c r="H62" i="3"/>
  <c r="E103" i="3"/>
  <c r="D57" i="3"/>
  <c r="J62" i="3"/>
  <c r="C78" i="3"/>
  <c r="H103" i="3"/>
  <c r="D103" i="3"/>
  <c r="D92" i="3"/>
  <c r="G78" i="3"/>
  <c r="F78" i="3"/>
  <c r="J78" i="3"/>
  <c r="L78" i="3"/>
  <c r="C92" i="3"/>
  <c r="C103" i="3"/>
  <c r="J92" i="3"/>
  <c r="E92" i="3"/>
  <c r="L103" i="3"/>
  <c r="C57" i="3"/>
  <c r="I92" i="3"/>
  <c r="L57" i="3"/>
  <c r="K78" i="3"/>
  <c r="E78" i="3"/>
  <c r="D78" i="3"/>
  <c r="D105" i="3" s="1"/>
  <c r="L92" i="3"/>
  <c r="D62" i="3"/>
  <c r="K92" i="3"/>
  <c r="F57" i="3"/>
  <c r="C62" i="3"/>
  <c r="H92" i="3"/>
  <c r="J103" i="3"/>
  <c r="H78" i="3"/>
  <c r="I78" i="3"/>
  <c r="E62" i="3"/>
  <c r="E57" i="3"/>
  <c r="L62" i="3"/>
  <c r="L64" i="3" s="1"/>
  <c r="L66" i="3" s="1"/>
  <c r="G92" i="3"/>
  <c r="I103" i="3"/>
  <c r="H57" i="3"/>
  <c r="G57" i="3"/>
  <c r="J57" i="3"/>
  <c r="I57" i="3"/>
  <c r="M27" i="3"/>
  <c r="M28" i="3" s="1"/>
  <c r="G7" i="3"/>
  <c r="J16" i="3"/>
  <c r="I16" i="3"/>
  <c r="I12" i="3"/>
  <c r="C25" i="3"/>
  <c r="H7" i="3"/>
  <c r="G10" i="3"/>
  <c r="L12" i="3"/>
  <c r="L18" i="3" s="1"/>
  <c r="K7" i="3"/>
  <c r="J10" i="3"/>
  <c r="K25" i="3"/>
  <c r="K22" i="3"/>
  <c r="J25" i="3"/>
  <c r="J22" i="3"/>
  <c r="I25" i="3"/>
  <c r="J12" i="3"/>
  <c r="J18" i="3" s="1"/>
  <c r="I22" i="3"/>
  <c r="H25" i="3"/>
  <c r="I10" i="3"/>
  <c r="H16" i="3"/>
  <c r="G16" i="3"/>
  <c r="C10" i="3"/>
  <c r="M12" i="3"/>
  <c r="M13" i="3" s="1"/>
  <c r="L7" i="3"/>
  <c r="K10" i="3"/>
  <c r="K12" i="3"/>
  <c r="K18" i="3" s="1"/>
  <c r="L25" i="3"/>
  <c r="H22" i="3"/>
  <c r="E12" i="3"/>
  <c r="E18" i="3" s="1"/>
  <c r="E16" i="3"/>
  <c r="D25" i="3"/>
  <c r="D16" i="3"/>
  <c r="G22" i="3"/>
  <c r="L10" i="3"/>
  <c r="H12" i="3"/>
  <c r="H18" i="3" s="1"/>
  <c r="F22" i="3"/>
  <c r="G12" i="3"/>
  <c r="G18" i="3" s="1"/>
  <c r="E22" i="3"/>
  <c r="G25" i="3"/>
  <c r="C12" i="3"/>
  <c r="C18" i="3" s="1"/>
  <c r="D22" i="3"/>
  <c r="F25" i="3"/>
  <c r="L16" i="3"/>
  <c r="M22" i="3"/>
  <c r="E25" i="3"/>
  <c r="H10" i="3"/>
  <c r="F10" i="3"/>
  <c r="L22" i="3"/>
  <c r="M25" i="3"/>
  <c r="K16" i="3"/>
  <c r="C22" i="3"/>
  <c r="I7" i="3"/>
  <c r="D7" i="3"/>
  <c r="M7" i="3"/>
  <c r="F16" i="3"/>
  <c r="F12" i="3"/>
  <c r="F18" i="3" s="1"/>
  <c r="M16" i="3"/>
  <c r="M10" i="3"/>
  <c r="F7" i="3"/>
  <c r="E7" i="3"/>
  <c r="E10" i="3"/>
  <c r="C16" i="3"/>
  <c r="D10" i="3"/>
  <c r="D12" i="3"/>
  <c r="D18" i="3" s="1"/>
  <c r="D33" i="15" l="1"/>
  <c r="D36" i="15" s="1"/>
  <c r="G20" i="15"/>
  <c r="G22" i="15" s="1"/>
  <c r="J20" i="15"/>
  <c r="J22" i="15" s="1"/>
  <c r="I20" i="15"/>
  <c r="I22" i="15" s="1"/>
  <c r="H20" i="15"/>
  <c r="H22" i="15" s="1"/>
  <c r="K20" i="15"/>
  <c r="K22" i="15" s="1"/>
  <c r="K66" i="13"/>
  <c r="J64" i="3"/>
  <c r="J66" i="3" s="1"/>
  <c r="H19" i="3"/>
  <c r="F19" i="3"/>
  <c r="E19" i="3"/>
  <c r="L19" i="3"/>
  <c r="J19" i="3"/>
  <c r="K19" i="3"/>
  <c r="C19" i="3"/>
  <c r="G19" i="3"/>
  <c r="D19" i="3"/>
  <c r="I64" i="3"/>
  <c r="I66" i="3" s="1"/>
  <c r="C64" i="3"/>
  <c r="C66" i="3" s="1"/>
  <c r="G64" i="3"/>
  <c r="G66" i="3" s="1"/>
  <c r="F105" i="3"/>
  <c r="I13" i="3"/>
  <c r="I18" i="3"/>
  <c r="C105" i="3"/>
  <c r="F64" i="3"/>
  <c r="F66" i="3" s="1"/>
  <c r="D64" i="3"/>
  <c r="D66" i="3" s="1"/>
  <c r="H64" i="3"/>
  <c r="H66" i="3" s="1"/>
  <c r="M33" i="3"/>
  <c r="M34" i="3" s="1"/>
  <c r="E105" i="3"/>
  <c r="L105" i="3"/>
  <c r="J105" i="3"/>
  <c r="K105" i="3"/>
  <c r="I105" i="3"/>
  <c r="E64" i="3"/>
  <c r="E66" i="3" s="1"/>
  <c r="G105" i="3"/>
  <c r="M31" i="3"/>
  <c r="H105" i="3"/>
  <c r="J13" i="3"/>
  <c r="E13" i="3"/>
  <c r="C13" i="3"/>
  <c r="H13" i="3"/>
  <c r="D13" i="3"/>
  <c r="K13" i="3"/>
  <c r="F13" i="3"/>
  <c r="L13" i="3"/>
  <c r="G13" i="3"/>
  <c r="D40" i="15" l="1"/>
  <c r="D41" i="15"/>
  <c r="I19" i="3"/>
  <c r="M38" i="3"/>
  <c r="I27" i="3"/>
  <c r="M44" i="3"/>
  <c r="M42" i="3"/>
  <c r="K27" i="3"/>
  <c r="H27" i="3"/>
  <c r="C27" i="3"/>
  <c r="E27" i="3"/>
  <c r="D27" i="3"/>
  <c r="G27" i="3"/>
  <c r="L27" i="3"/>
  <c r="F27" i="3"/>
  <c r="J27" i="3"/>
  <c r="D42" i="15" l="1"/>
  <c r="D46" i="15" s="1"/>
  <c r="D49" i="15" s="1"/>
  <c r="D52" i="15" s="1"/>
  <c r="I33" i="3"/>
  <c r="I28" i="3"/>
  <c r="I31" i="3"/>
  <c r="K31" i="3"/>
  <c r="K28" i="3"/>
  <c r="K33" i="3"/>
  <c r="C31" i="3"/>
  <c r="C28" i="3"/>
  <c r="C33" i="3"/>
  <c r="F31" i="3"/>
  <c r="F28" i="3"/>
  <c r="F33" i="3"/>
  <c r="J31" i="3"/>
  <c r="J28" i="3"/>
  <c r="J33" i="3"/>
  <c r="H31" i="3"/>
  <c r="H28" i="3"/>
  <c r="H33" i="3"/>
  <c r="L31" i="3"/>
  <c r="L33" i="3"/>
  <c r="L28" i="3"/>
  <c r="G31" i="3"/>
  <c r="G28" i="3"/>
  <c r="G33" i="3"/>
  <c r="D31" i="3"/>
  <c r="D28" i="3"/>
  <c r="D33" i="3"/>
  <c r="E31" i="3"/>
  <c r="E28" i="3"/>
  <c r="E33" i="3"/>
  <c r="I38" i="3" l="1"/>
  <c r="I42" i="3" s="1"/>
  <c r="I44" i="3" s="1"/>
  <c r="I34" i="3"/>
  <c r="G38" i="3"/>
  <c r="G34" i="3"/>
  <c r="E34" i="3"/>
  <c r="E38" i="3"/>
  <c r="L34" i="3"/>
  <c r="L38" i="3"/>
  <c r="H38" i="3"/>
  <c r="H34" i="3"/>
  <c r="D34" i="3"/>
  <c r="D38" i="3"/>
  <c r="F38" i="3"/>
  <c r="F34" i="3"/>
  <c r="C34" i="3"/>
  <c r="C38" i="3"/>
  <c r="J38" i="3"/>
  <c r="J34" i="3"/>
  <c r="K34" i="3"/>
  <c r="K38" i="3"/>
  <c r="F39" i="3" l="1"/>
  <c r="F42" i="3"/>
  <c r="F44" i="3" s="1"/>
  <c r="K39" i="3"/>
  <c r="K42" i="3"/>
  <c r="K44" i="3" s="1"/>
  <c r="D39" i="3"/>
  <c r="D42" i="3"/>
  <c r="D44" i="3" s="1"/>
  <c r="H39" i="3"/>
  <c r="H42" i="3"/>
  <c r="H44" i="3" s="1"/>
  <c r="I39" i="3"/>
  <c r="L39" i="3"/>
  <c r="L42" i="3"/>
  <c r="L44" i="3" s="1"/>
  <c r="M39" i="3"/>
  <c r="E39" i="3"/>
  <c r="E42" i="3"/>
  <c r="E44" i="3" s="1"/>
  <c r="J39" i="3"/>
  <c r="J42" i="3"/>
  <c r="J44" i="3" s="1"/>
  <c r="C42" i="3"/>
  <c r="C44" i="3" s="1"/>
  <c r="G39" i="3"/>
  <c r="G42" i="3"/>
  <c r="G4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<sst xmlns="http://schemas.openxmlformats.org/spreadsheetml/2006/main" count="391" uniqueCount="256">
  <si>
    <t>COMPANY NAME</t>
  </si>
  <si>
    <t>TATA MOTORS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</si>
  <si>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</si>
  <si>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</si>
  <si>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</si>
  <si>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</si>
  <si>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</si>
  <si>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</si>
  <si>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</si>
  <si>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</si>
  <si>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</si>
  <si>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</si>
  <si>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</si>
  <si>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</si>
  <si>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</si>
  <si>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</si>
  <si>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</si>
  <si>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</si>
  <si>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</si>
  <si>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</si>
  <si>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</si>
  <si>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</si>
  <si>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</si>
  <si>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</si>
  <si>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</si>
  <si>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</si>
  <si>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</si>
  <si>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</si>
  <si>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</si>
  <si>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</si>
  <si>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</si>
  <si>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</si>
  <si>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</si>
  <si>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</si>
  <si>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</si>
  <si>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</si>
  <si>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</si>
  <si>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</si>
  <si>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</si>
  <si>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</si>
  <si>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</si>
  <si>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</si>
  <si>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</si>
  <si>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</si>
  <si>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</si>
  <si>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</si>
  <si>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</si>
  <si>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</si>
  <si>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</si>
  <si>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</si>
  <si>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</si>
  <si>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</si>
  <si>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</si>
  <si>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</si>
  <si>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</si>
  <si>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LTM</t>
  </si>
  <si>
    <t>Income Statement</t>
  </si>
  <si>
    <t>#</t>
  </si>
  <si>
    <t>Sales Growth</t>
  </si>
  <si>
    <t>COGS</t>
  </si>
  <si>
    <t>COGS % Sales</t>
  </si>
  <si>
    <t>Gross Profit</t>
  </si>
  <si>
    <t>Sales and General Expenses</t>
  </si>
  <si>
    <t>S&amp;G Exp % Sales</t>
  </si>
  <si>
    <t>EBITDA</t>
  </si>
  <si>
    <t>EBITDA Margin</t>
  </si>
  <si>
    <t>Interest % Sales</t>
  </si>
  <si>
    <t>Depreciation % Sales</t>
  </si>
  <si>
    <t>Earning Before Tax</t>
  </si>
  <si>
    <t>Gross Margin</t>
  </si>
  <si>
    <t>Effective Tax Rate</t>
  </si>
  <si>
    <t>EBT % Sales</t>
  </si>
  <si>
    <t>Net Profit</t>
  </si>
  <si>
    <t>Net Margin</t>
  </si>
  <si>
    <t>Earnings Per Share</t>
  </si>
  <si>
    <t>EPS Growth %</t>
  </si>
  <si>
    <t>Dividend Per Share</t>
  </si>
  <si>
    <t>Dividend Payout Ratio</t>
  </si>
  <si>
    <t>Retained Earnings</t>
  </si>
  <si>
    <t>Balance Sheet</t>
  </si>
  <si>
    <t>Total Liabilities</t>
  </si>
  <si>
    <t>Fixed Assets Net Block</t>
  </si>
  <si>
    <t>Total Non Current Assets</t>
  </si>
  <si>
    <t>Total Current Assets</t>
  </si>
  <si>
    <t>Total Assets</t>
  </si>
  <si>
    <t>Check</t>
  </si>
  <si>
    <t>Cash Flow Statement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</si>
  <si>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</si>
  <si>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</si>
  <si>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</si>
  <si>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</si>
  <si>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</si>
  <si>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</si>
  <si>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</si>
  <si>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</si>
  <si>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</si>
  <si>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</si>
  <si>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</si>
  <si>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</si>
  <si>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</si>
  <si>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</si>
  <si>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</si>
  <si>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</si>
  <si>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</si>
  <si>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</si>
  <si>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</si>
  <si>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</si>
  <si>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</si>
  <si>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</si>
  <si>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</si>
  <si>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</si>
  <si>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</si>
  <si>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from Operating Activities</t>
  </si>
  <si>
    <t>Operating Activities</t>
  </si>
  <si>
    <r>
      <t>Cash from Operating Activity </t>
    </r>
    <r>
      <rPr>
        <sz val="11"/>
        <color rgb="FF665EFD"/>
        <rFont val="Arial"/>
        <family val="2"/>
      </rPr>
      <t>-</t>
    </r>
  </si>
  <si>
    <r>
      <t>Cash from Investing Activity </t>
    </r>
    <r>
      <rPr>
        <sz val="11"/>
        <color rgb="FF665EFD"/>
        <rFont val="Arial"/>
        <family val="2"/>
      </rPr>
      <t>-</t>
    </r>
  </si>
  <si>
    <r>
      <t>Cash from Financing Activity </t>
    </r>
    <r>
      <rPr>
        <sz val="11"/>
        <color rgb="FF665EFD"/>
        <rFont val="Arial"/>
        <family val="2"/>
      </rPr>
      <t>-</t>
    </r>
  </si>
  <si>
    <t>Investing Activities</t>
  </si>
  <si>
    <t>Cash from Investing Activities</t>
  </si>
  <si>
    <t>Financing Activity</t>
  </si>
  <si>
    <t>Cash from Financing Activities</t>
  </si>
  <si>
    <t>Weighted Average Cost of Capital</t>
  </si>
  <si>
    <t>All figures are in INR unless stated otherwise</t>
  </si>
  <si>
    <t>Peer Comps</t>
  </si>
  <si>
    <t>Debt/</t>
  </si>
  <si>
    <t>Levered</t>
  </si>
  <si>
    <t xml:space="preserve">Unlevered </t>
  </si>
  <si>
    <t>Name of the Comp</t>
  </si>
  <si>
    <t>Country</t>
  </si>
  <si>
    <t>Total debt</t>
  </si>
  <si>
    <t>Total Equity</t>
  </si>
  <si>
    <r>
      <t>Tax Rate</t>
    </r>
    <r>
      <rPr>
        <b/>
        <vertAlign val="superscript"/>
        <sz val="11"/>
        <color theme="1"/>
        <rFont val="Calibri"/>
        <family val="2"/>
      </rPr>
      <t>1</t>
    </r>
  </si>
  <si>
    <t>Equity</t>
  </si>
  <si>
    <t>Capital</t>
  </si>
  <si>
    <r>
      <t>Beta</t>
    </r>
    <r>
      <rPr>
        <b/>
        <vertAlign val="superscript"/>
        <sz val="11"/>
        <color theme="1"/>
        <rFont val="Calibri"/>
        <family val="2"/>
      </rPr>
      <t>2</t>
    </r>
  </si>
  <si>
    <r>
      <t>Beta</t>
    </r>
    <r>
      <rPr>
        <b/>
        <vertAlign val="superscript"/>
        <sz val="11"/>
        <color theme="1"/>
        <rFont val="Calibri"/>
        <family val="2"/>
      </rPr>
      <t>3</t>
    </r>
  </si>
  <si>
    <t>M &amp; M</t>
  </si>
  <si>
    <t>India</t>
  </si>
  <si>
    <t>Maruti Suzuki</t>
  </si>
  <si>
    <t>Tata Motors</t>
  </si>
  <si>
    <t>Hyundai Motor I</t>
  </si>
  <si>
    <t>Force Motors</t>
  </si>
  <si>
    <t>Average</t>
  </si>
  <si>
    <t>Median</t>
  </si>
  <si>
    <t>Cost of Debt</t>
  </si>
  <si>
    <t>Cost of Equity</t>
  </si>
  <si>
    <t>Pre Tax Cost of Debt</t>
  </si>
  <si>
    <t>Risk Free Rate</t>
  </si>
  <si>
    <t>Tax Rate</t>
  </si>
  <si>
    <t>Equity Risk Premium</t>
  </si>
  <si>
    <t>Post Tax Cost of Debt</t>
  </si>
  <si>
    <r>
      <t xml:space="preserve">Levered Beta </t>
    </r>
    <r>
      <rPr>
        <b/>
        <vertAlign val="superscript"/>
        <sz val="11"/>
        <color theme="1"/>
        <rFont val="Calibri"/>
        <family val="2"/>
      </rPr>
      <t>4</t>
    </r>
  </si>
  <si>
    <t>Capital Structure</t>
  </si>
  <si>
    <t>Levered Beta</t>
  </si>
  <si>
    <t xml:space="preserve">Current </t>
  </si>
  <si>
    <t>Target</t>
  </si>
  <si>
    <t>Comps Median Unlevered Beta</t>
  </si>
  <si>
    <t>Total Debt</t>
  </si>
  <si>
    <t>Target Debt/Equity</t>
  </si>
  <si>
    <t>Total Capital</t>
  </si>
  <si>
    <t>Debt/Equity</t>
  </si>
  <si>
    <t>Notes</t>
  </si>
  <si>
    <t>1. Tax rate are considered as Marginal Tax Rate for the country</t>
  </si>
  <si>
    <t>Equity Weight</t>
  </si>
  <si>
    <t>2. Levered beta is based on 5 years monthly data</t>
  </si>
  <si>
    <t>3. Unlevered beta = Levered beta/(1+(1-Tax Rate)*Debt/Equity</t>
  </si>
  <si>
    <t>4. Levered beta = Unlevered beta*(1+(1-Tax Rate)*Debt/Equity</t>
  </si>
  <si>
    <t>Debt Weight</t>
  </si>
  <si>
    <t>WACC</t>
  </si>
  <si>
    <t>S.No.</t>
  </si>
  <si>
    <t>Name</t>
  </si>
  <si>
    <t>CMP Rs.</t>
  </si>
  <si>
    <t>Mar Cap Rs.Cr.</t>
  </si>
  <si>
    <t>Debt Rs.Cr.</t>
  </si>
  <si>
    <t>Debt / Eq</t>
  </si>
  <si>
    <t>Return on Markets</t>
  </si>
  <si>
    <t>Year</t>
  </si>
  <si>
    <t>Annual</t>
  </si>
  <si>
    <t>Average Return</t>
  </si>
  <si>
    <t>Dividend Yield</t>
  </si>
  <si>
    <t>Total Market Return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</si>
  <si>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</si>
  <si>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</si>
  <si>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</si>
  <si>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</si>
  <si>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</si>
  <si>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</si>
  <si>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</si>
  <si>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</si>
  <si>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</si>
  <si>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</si>
  <si>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</si>
  <si>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</si>
  <si>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</si>
  <si>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</si>
  <si>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</si>
  <si>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</si>
  <si>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</si>
  <si>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</si>
  <si>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</si>
  <si>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</si>
  <si>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</si>
  <si>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</si>
  <si>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</si>
  <si>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</si>
  <si>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</si>
  <si>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</si>
  <si>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</si>
  <si>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</si>
  <si>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</si>
  <si>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</si>
  <si>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Particulars</t>
  </si>
  <si>
    <t>Calculation of ROIC</t>
  </si>
  <si>
    <t>Current Assets</t>
  </si>
  <si>
    <t>Current Liabilities</t>
  </si>
  <si>
    <t>Total Current Liabilities</t>
  </si>
  <si>
    <t>Net Working Capital</t>
  </si>
  <si>
    <t>Net Non Current Assets</t>
  </si>
  <si>
    <t>Non Current Assets</t>
  </si>
  <si>
    <t>Invested Capital</t>
  </si>
  <si>
    <t>EBIT</t>
  </si>
  <si>
    <t>ROIC</t>
  </si>
  <si>
    <t>Calculation of Reinvestment Rate</t>
  </si>
  <si>
    <t>Net Capex</t>
  </si>
  <si>
    <t>Change in Working Capital</t>
  </si>
  <si>
    <t>Marginal Tax Rate</t>
  </si>
  <si>
    <t>Reinvestment</t>
  </si>
  <si>
    <t>EBIT(1-T)</t>
  </si>
  <si>
    <t>Reinvestment Rate</t>
  </si>
  <si>
    <t>4 Year Average</t>
  </si>
  <si>
    <t>4 Year Median</t>
  </si>
  <si>
    <t>Calculation of Growth Rate</t>
  </si>
  <si>
    <t>Intrinsic Growth Rate</t>
  </si>
  <si>
    <t>Calculation of PV of FCFF</t>
  </si>
  <si>
    <t>EBIT (1-Tax)</t>
  </si>
  <si>
    <t>Less: Reinvestment Rate</t>
  </si>
  <si>
    <t>Free Cash Flow to Firm (FCFF)</t>
  </si>
  <si>
    <t>Mid Year Convention</t>
  </si>
  <si>
    <t>Discounting Factor</t>
  </si>
  <si>
    <t>PV of FCFF</t>
  </si>
  <si>
    <t>Expected Growth</t>
  </si>
  <si>
    <t>Terminal Growth</t>
  </si>
  <si>
    <t>Calculation of Terminal Value</t>
  </si>
  <si>
    <t>FCFF(n+1)</t>
  </si>
  <si>
    <t>Terminal Growth Rate</t>
  </si>
  <si>
    <t>Terminal Value</t>
  </si>
  <si>
    <t>PV of Terminal Value</t>
  </si>
  <si>
    <t>Add Cash</t>
  </si>
  <si>
    <t>Less Debt</t>
  </si>
  <si>
    <t>Calcultion of Equity Value Per Share</t>
  </si>
  <si>
    <t>Value of Equity</t>
  </si>
  <si>
    <t>No. of Shares</t>
  </si>
  <si>
    <t>Equity Value Per Share</t>
  </si>
  <si>
    <t>Value of Operating Assets (EV)</t>
  </si>
  <si>
    <t>Share Price</t>
  </si>
  <si>
    <t>Discount/Premium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</si>
</sst>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&quot;₹&quot;\ #,##0.00"/>
    <numFmt numFmtId="167" formatCode="&quot;₹&quot;\ #,##0.00;\(&quot;₹&quot;\ #,##0.00\);\-"/>
    <numFmt numFmtId="168" formatCode="#,##0.0"/>
    <numFmt numFmtId="169" formatCode="#,##0.00;\(#,##0.00\);\-"/>
    <numFmt numFmtId="170" formatCode="mmm/yy&quot;A&quot;"/>
    <numFmt numFmtId="171" formatCode="mmm/yy&quot;F&quot;"/>
    <numFmt numFmtId="172" formatCode="0.00\x"/>
  </numFmts>
  <fonts count="2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249977111117893"/>
      <name val="Calibri"/>
      <family val="2"/>
    </font>
    <font>
      <sz val="11"/>
      <color theme="0" tint="-0.499984740745262"/>
      <name val="Calibri"/>
      <family val="2"/>
    </font>
    <font>
      <i/>
      <sz val="11"/>
      <color theme="0" tint="-0.499984740745262"/>
      <name val="Calibri"/>
      <family val="2"/>
    </font>
    <font>
      <b/>
      <i/>
      <sz val="11"/>
      <color theme="0" tint="-0.499984740745262"/>
      <name val="Calibri"/>
      <family val="2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sz val="11"/>
      <color rgb="FF22222F"/>
      <name val="Arial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b/>
      <sz val="11"/>
      <color rgb="FF3333FF"/>
      <name val="Calibri"/>
      <family val="2"/>
    </font>
    <font>
      <b/>
      <sz val="11"/>
      <name val="calibri"/>
      <family val="2"/>
    </font>
    <font>
      <b/>
      <i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11"/>
      <color theme="0"/>
      <name val="Arial"/>
      <family val="2"/>
    </font>
    <font>
      <sz val="11"/>
      <color rgb="FF3333FF"/>
      <name val="Calibri"/>
      <family val="2"/>
    </font>
    <font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rgb="FFDBE4F0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140">
    <xf numFmtId="0" fontId="0" fillId="0" borderId="0" xfId="0"/>
    <xf numFmtId="43" fontId="7" fillId="0" borderId="0" xfId="1" applyFont="1" applyBorder="1"/>
    <xf numFmtId="43" fontId="0" fillId="0" borderId="0" xfId="1" applyFont="1" applyBorder="1"/>
    <xf numFmtId="164" fontId="8" fillId="3" borderId="0" xfId="1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9" fillId="0" borderId="0" xfId="1" applyNumberFormat="1" applyFont="1" applyFill="1" applyBorder="1"/>
    <xf numFmtId="43" fontId="6" fillId="0" borderId="0" xfId="1" applyFont="1" applyBorder="1"/>
    <xf numFmtId="165" fontId="0" fillId="0" borderId="0" xfId="1" applyNumberFormat="1" applyFont="1" applyBorder="1"/>
    <xf numFmtId="0" fontId="10" fillId="0" borderId="0" xfId="0" applyFont="1"/>
    <xf numFmtId="0" fontId="2" fillId="4" borderId="0" xfId="0" applyFont="1" applyFill="1"/>
    <xf numFmtId="17" fontId="2" fillId="4" borderId="0" xfId="0" applyNumberFormat="1" applyFont="1" applyFill="1"/>
    <xf numFmtId="17" fontId="2" fillId="4" borderId="0" xfId="0" applyNumberFormat="1" applyFont="1" applyFill="1" applyAlignment="1">
      <alignment horizontal="right"/>
    </xf>
    <xf numFmtId="0" fontId="3" fillId="0" borderId="0" xfId="0" applyFont="1"/>
    <xf numFmtId="0" fontId="11" fillId="0" borderId="0" xfId="0" applyFont="1"/>
    <xf numFmtId="0" fontId="12" fillId="0" borderId="0" xfId="0" applyFont="1"/>
    <xf numFmtId="10" fontId="12" fillId="0" borderId="0" xfId="2" applyNumberFormat="1" applyFont="1"/>
    <xf numFmtId="0" fontId="3" fillId="5" borderId="0" xfId="0" applyFont="1" applyFill="1"/>
    <xf numFmtId="15" fontId="0" fillId="5" borderId="0" xfId="0" applyNumberFormat="1" applyFill="1"/>
    <xf numFmtId="0" fontId="0" fillId="5" borderId="0" xfId="0" applyFill="1"/>
    <xf numFmtId="167" fontId="3" fillId="0" borderId="0" xfId="0" applyNumberFormat="1" applyFont="1"/>
    <xf numFmtId="166" fontId="3" fillId="0" borderId="0" xfId="0" applyNumberFormat="1" applyFont="1"/>
    <xf numFmtId="0" fontId="0" fillId="6" borderId="0" xfId="0" applyFill="1"/>
    <xf numFmtId="0" fontId="2" fillId="6" borderId="0" xfId="0" applyFont="1" applyFill="1"/>
    <xf numFmtId="17" fontId="2" fillId="6" borderId="0" xfId="0" applyNumberFormat="1" applyFont="1" applyFill="1"/>
    <xf numFmtId="17" fontId="2" fillId="6" borderId="0" xfId="0" applyNumberFormat="1" applyFont="1" applyFill="1" applyAlignment="1">
      <alignment horizontal="right"/>
    </xf>
    <xf numFmtId="10" fontId="3" fillId="0" borderId="0" xfId="2" applyNumberFormat="1" applyFont="1"/>
    <xf numFmtId="10" fontId="13" fillId="0" borderId="0" xfId="2" applyNumberFormat="1" applyFont="1"/>
    <xf numFmtId="167" fontId="0" fillId="0" borderId="0" xfId="0" applyNumberFormat="1"/>
    <xf numFmtId="0" fontId="13" fillId="0" borderId="0" xfId="0" applyFont="1"/>
    <xf numFmtId="17" fontId="14" fillId="7" borderId="0" xfId="0" applyNumberFormat="1" applyFont="1" applyFill="1" applyAlignment="1">
      <alignment horizontal="right" vertical="center" wrapText="1"/>
    </xf>
    <xf numFmtId="0" fontId="15" fillId="8" borderId="1" xfId="0" applyFont="1" applyFill="1" applyBorder="1" applyAlignment="1">
      <alignment horizontal="left" vertical="center" indent="1"/>
    </xf>
    <xf numFmtId="3" fontId="15" fillId="8" borderId="1" xfId="0" applyNumberFormat="1" applyFont="1" applyFill="1" applyBorder="1" applyAlignment="1">
      <alignment horizontal="right" vertical="center" wrapText="1"/>
    </xf>
    <xf numFmtId="0" fontId="15" fillId="8" borderId="1" xfId="0" applyFont="1" applyFill="1" applyBorder="1" applyAlignment="1">
      <alignment horizontal="left" vertical="center"/>
    </xf>
    <xf numFmtId="0" fontId="17" fillId="8" borderId="0" xfId="0" applyFont="1" applyFill="1" applyAlignment="1">
      <alignment horizontal="left" vertical="center"/>
    </xf>
    <xf numFmtId="0" fontId="17" fillId="8" borderId="0" xfId="0" applyFont="1" applyFill="1" applyAlignment="1">
      <alignment horizontal="right" vertical="center" wrapText="1"/>
    </xf>
    <xf numFmtId="3" fontId="17" fillId="8" borderId="0" xfId="0" applyNumberFormat="1" applyFont="1" applyFill="1" applyAlignment="1">
      <alignment horizontal="right" vertical="center" wrapText="1"/>
    </xf>
    <xf numFmtId="0" fontId="15" fillId="8" borderId="1" xfId="0" applyFont="1" applyFill="1" applyBorder="1" applyAlignment="1">
      <alignment horizontal="right" vertical="center" wrapText="1"/>
    </xf>
    <xf numFmtId="0" fontId="15" fillId="7" borderId="1" xfId="0" applyFont="1" applyFill="1" applyBorder="1" applyAlignment="1">
      <alignment horizontal="left" vertical="center" indent="1"/>
    </xf>
    <xf numFmtId="3" fontId="15" fillId="7" borderId="1" xfId="0" applyNumberFormat="1" applyFont="1" applyFill="1" applyBorder="1" applyAlignment="1">
      <alignment horizontal="right" vertical="center" wrapText="1"/>
    </xf>
    <xf numFmtId="0" fontId="17" fillId="7" borderId="0" xfId="0" applyFont="1" applyFill="1" applyAlignment="1">
      <alignment horizontal="left" vertical="center"/>
    </xf>
    <xf numFmtId="3" fontId="17" fillId="7" borderId="0" xfId="0" applyNumberFormat="1" applyFont="1" applyFill="1" applyAlignment="1">
      <alignment horizontal="right" vertical="center" wrapText="1"/>
    </xf>
    <xf numFmtId="0" fontId="17" fillId="7" borderId="0" xfId="0" applyFont="1" applyFill="1" applyAlignment="1">
      <alignment horizontal="right" vertical="center" wrapText="1"/>
    </xf>
    <xf numFmtId="0" fontId="15" fillId="7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left" indent="1"/>
    </xf>
    <xf numFmtId="0" fontId="0" fillId="9" borderId="0" xfId="0" applyFill="1"/>
    <xf numFmtId="0" fontId="18" fillId="5" borderId="0" xfId="0" applyFont="1" applyFill="1"/>
    <xf numFmtId="0" fontId="19" fillId="0" borderId="0" xfId="0" applyFont="1"/>
    <xf numFmtId="0" fontId="20" fillId="0" borderId="0" xfId="0" applyFont="1"/>
    <xf numFmtId="0" fontId="3" fillId="0" borderId="2" xfId="0" applyFont="1" applyBorder="1"/>
    <xf numFmtId="0" fontId="0" fillId="0" borderId="2" xfId="0" applyBorder="1"/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right"/>
    </xf>
    <xf numFmtId="0" fontId="22" fillId="0" borderId="0" xfId="0" applyFont="1"/>
    <xf numFmtId="168" fontId="22" fillId="0" borderId="0" xfId="0" applyNumberFormat="1" applyFont="1"/>
    <xf numFmtId="10" fontId="22" fillId="0" borderId="0" xfId="2" applyNumberFormat="1" applyFont="1"/>
    <xf numFmtId="2" fontId="22" fillId="0" borderId="0" xfId="0" applyNumberFormat="1" applyFont="1"/>
    <xf numFmtId="2" fontId="3" fillId="0" borderId="0" xfId="0" applyNumberFormat="1" applyFont="1"/>
    <xf numFmtId="0" fontId="3" fillId="0" borderId="3" xfId="0" applyFont="1" applyBorder="1"/>
    <xf numFmtId="10" fontId="3" fillId="0" borderId="3" xfId="2" applyNumberFormat="1" applyFont="1" applyBorder="1"/>
    <xf numFmtId="2" fontId="3" fillId="0" borderId="3" xfId="0" applyNumberFormat="1" applyFont="1" applyBorder="1"/>
    <xf numFmtId="10" fontId="3" fillId="0" borderId="2" xfId="2" applyNumberFormat="1" applyFont="1" applyBorder="1"/>
    <xf numFmtId="2" fontId="3" fillId="0" borderId="2" xfId="0" applyNumberFormat="1" applyFont="1" applyBorder="1"/>
    <xf numFmtId="10" fontId="22" fillId="0" borderId="0" xfId="0" applyNumberFormat="1" applyFont="1"/>
    <xf numFmtId="10" fontId="0" fillId="0" borderId="0" xfId="0" applyNumberFormat="1"/>
    <xf numFmtId="0" fontId="3" fillId="0" borderId="4" xfId="0" applyFont="1" applyBorder="1"/>
    <xf numFmtId="0" fontId="0" fillId="0" borderId="4" xfId="0" applyBorder="1"/>
    <xf numFmtId="10" fontId="3" fillId="10" borderId="4" xfId="0" applyNumberFormat="1" applyFont="1" applyFill="1" applyBorder="1"/>
    <xf numFmtId="10" fontId="3" fillId="0" borderId="4" xfId="0" applyNumberFormat="1" applyFont="1" applyBorder="1"/>
    <xf numFmtId="10" fontId="3" fillId="0" borderId="0" xfId="0" applyNumberFormat="1" applyFont="1"/>
    <xf numFmtId="10" fontId="3" fillId="0" borderId="0" xfId="2" applyNumberFormat="1" applyFont="1" applyBorder="1"/>
    <xf numFmtId="10" fontId="23" fillId="0" borderId="0" xfId="0" applyNumberFormat="1" applyFont="1"/>
    <xf numFmtId="168" fontId="3" fillId="0" borderId="4" xfId="0" applyNumberFormat="1" applyFont="1" applyBorder="1"/>
    <xf numFmtId="10" fontId="3" fillId="0" borderId="4" xfId="2" applyNumberFormat="1" applyFont="1" applyBorder="1"/>
    <xf numFmtId="2" fontId="3" fillId="10" borderId="4" xfId="0" applyNumberFormat="1" applyFont="1" applyFill="1" applyBorder="1"/>
    <xf numFmtId="10" fontId="3" fillId="10" borderId="0" xfId="0" applyNumberFormat="1" applyFont="1" applyFill="1"/>
    <xf numFmtId="0" fontId="24" fillId="0" borderId="0" xfId="0" applyFont="1"/>
    <xf numFmtId="10" fontId="3" fillId="0" borderId="0" xfId="0" applyNumberFormat="1" applyFont="1" applyAlignment="1">
      <alignment horizontal="right"/>
    </xf>
    <xf numFmtId="0" fontId="25" fillId="0" borderId="0" xfId="0" applyFont="1" applyAlignment="1">
      <alignment vertical="top"/>
    </xf>
    <xf numFmtId="0" fontId="3" fillId="11" borderId="0" xfId="0" applyFont="1" applyFill="1"/>
    <xf numFmtId="10" fontId="3" fillId="11" borderId="0" xfId="0" applyNumberFormat="1" applyFont="1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9" borderId="0" xfId="0" applyFill="1" applyAlignment="1">
      <alignment horizontal="left"/>
    </xf>
    <xf numFmtId="0" fontId="3" fillId="0" borderId="0" xfId="0" applyFont="1" applyAlignment="1">
      <alignment horizontal="left"/>
    </xf>
    <xf numFmtId="0" fontId="2" fillId="9" borderId="0" xfId="0" applyFont="1" applyFill="1"/>
    <xf numFmtId="17" fontId="2" fillId="9" borderId="0" xfId="0" applyNumberFormat="1" applyFont="1" applyFill="1"/>
    <xf numFmtId="169" fontId="0" fillId="0" borderId="0" xfId="0" applyNumberFormat="1"/>
    <xf numFmtId="169" fontId="0" fillId="0" borderId="5" xfId="0" applyNumberFormat="1" applyBorder="1"/>
    <xf numFmtId="169" fontId="0" fillId="0" borderId="3" xfId="0" applyNumberFormat="1" applyBorder="1"/>
    <xf numFmtId="0" fontId="3" fillId="0" borderId="6" xfId="0" applyFont="1" applyBorder="1"/>
    <xf numFmtId="169" fontId="3" fillId="0" borderId="6" xfId="0" applyNumberFormat="1" applyFont="1" applyBorder="1"/>
    <xf numFmtId="0" fontId="3" fillId="0" borderId="7" xfId="0" applyFont="1" applyBorder="1"/>
    <xf numFmtId="169" fontId="3" fillId="0" borderId="7" xfId="0" applyNumberFormat="1" applyFont="1" applyBorder="1"/>
    <xf numFmtId="0" fontId="3" fillId="0" borderId="5" xfId="0" applyFont="1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3" fillId="0" borderId="9" xfId="0" applyFont="1" applyBorder="1"/>
    <xf numFmtId="0" fontId="0" fillId="0" borderId="9" xfId="0" applyBorder="1"/>
    <xf numFmtId="0" fontId="3" fillId="9" borderId="0" xfId="0" applyFont="1" applyFill="1"/>
    <xf numFmtId="10" fontId="3" fillId="0" borderId="6" xfId="2" applyNumberFormat="1" applyFont="1" applyBorder="1"/>
    <xf numFmtId="17" fontId="26" fillId="9" borderId="0" xfId="0" applyNumberFormat="1" applyFont="1" applyFill="1" applyAlignment="1">
      <alignment horizontal="right" vertical="center" wrapText="1"/>
    </xf>
    <xf numFmtId="10" fontId="0" fillId="0" borderId="0" xfId="2" applyNumberFormat="1" applyFont="1"/>
    <xf numFmtId="169" fontId="3" fillId="0" borderId="9" xfId="0" applyNumberFormat="1" applyFont="1" applyBorder="1"/>
    <xf numFmtId="169" fontId="0" fillId="0" borderId="2" xfId="0" applyNumberFormat="1" applyBorder="1"/>
    <xf numFmtId="169" fontId="3" fillId="0" borderId="0" xfId="0" applyNumberFormat="1" applyFont="1"/>
    <xf numFmtId="10" fontId="0" fillId="0" borderId="5" xfId="0" applyNumberFormat="1" applyBorder="1"/>
    <xf numFmtId="0" fontId="0" fillId="11" borderId="0" xfId="0" applyFill="1"/>
    <xf numFmtId="10" fontId="0" fillId="11" borderId="0" xfId="0" applyNumberFormat="1" applyFill="1"/>
    <xf numFmtId="169" fontId="3" fillId="0" borderId="5" xfId="0" applyNumberFormat="1" applyFont="1" applyBorder="1"/>
    <xf numFmtId="10" fontId="22" fillId="0" borderId="5" xfId="0" applyNumberFormat="1" applyFont="1" applyBorder="1"/>
    <xf numFmtId="9" fontId="0" fillId="0" borderId="5" xfId="2" applyFont="1" applyBorder="1"/>
    <xf numFmtId="0" fontId="4" fillId="9" borderId="0" xfId="0" applyFont="1" applyFill="1"/>
    <xf numFmtId="170" fontId="2" fillId="9" borderId="0" xfId="0" applyNumberFormat="1" applyFont="1" applyFill="1"/>
    <xf numFmtId="171" fontId="2" fillId="9" borderId="0" xfId="0" applyNumberFormat="1" applyFont="1" applyFill="1"/>
    <xf numFmtId="0" fontId="0" fillId="0" borderId="10" xfId="0" applyBorder="1"/>
    <xf numFmtId="10" fontId="3" fillId="11" borderId="0" xfId="2" applyNumberFormat="1" applyFont="1" applyFill="1"/>
    <xf numFmtId="0" fontId="0" fillId="0" borderId="11" xfId="0" applyBorder="1"/>
    <xf numFmtId="2" fontId="0" fillId="0" borderId="11" xfId="0" applyNumberFormat="1" applyBorder="1"/>
    <xf numFmtId="10" fontId="28" fillId="0" borderId="11" xfId="2" applyNumberFormat="1" applyFont="1" applyBorder="1"/>
    <xf numFmtId="10" fontId="0" fillId="0" borderId="11" xfId="0" applyNumberFormat="1" applyBorder="1"/>
    <xf numFmtId="0" fontId="27" fillId="0" borderId="11" xfId="0" applyFont="1" applyBorder="1"/>
    <xf numFmtId="0" fontId="0" fillId="12" borderId="11" xfId="0" applyFill="1" applyBorder="1"/>
    <xf numFmtId="10" fontId="27" fillId="12" borderId="11" xfId="2" applyNumberFormat="1" applyFont="1" applyFill="1" applyBorder="1"/>
    <xf numFmtId="10" fontId="0" fillId="12" borderId="11" xfId="0" applyNumberFormat="1" applyFill="1" applyBorder="1"/>
    <xf numFmtId="0" fontId="0" fillId="12" borderId="10" xfId="0" applyFill="1" applyBorder="1"/>
    <xf numFmtId="0" fontId="23" fillId="6" borderId="0" xfId="0" applyFont="1" applyFill="1"/>
    <xf numFmtId="0" fontId="4" fillId="6" borderId="0" xfId="0" applyFont="1" applyFill="1"/>
    <xf numFmtId="10" fontId="27" fillId="0" borderId="11" xfId="0" applyNumberFormat="1" applyFont="1" applyBorder="1"/>
    <xf numFmtId="0" fontId="3" fillId="0" borderId="10" xfId="0" applyFont="1" applyBorder="1"/>
    <xf numFmtId="0" fontId="3" fillId="6" borderId="10" xfId="0" applyFont="1" applyFill="1" applyBorder="1"/>
    <xf numFmtId="169" fontId="3" fillId="0" borderId="10" xfId="0" applyNumberFormat="1" applyFont="1" applyBorder="1"/>
    <xf numFmtId="43" fontId="0" fillId="0" borderId="0" xfId="0" applyNumberFormat="1"/>
    <xf numFmtId="172" fontId="0" fillId="0" borderId="0" xfId="0" applyNumberFormat="1"/>
    <xf numFmtId="0" fontId="2" fillId="4" borderId="0" xfId="0" applyFont="1" applyFill="1" applyAlignment="1">
      <alignment horizontal="center"/>
    </xf>
    <xf numFmtId="43" fontId="5" fillId="0" borderId="0" xfId="4" applyNumberFormat="1" applyBorder="1" applyAlignment="1" applyProtection="1">
      <alignment horizontal="center"/>
    </xf>
    <xf numFmtId="43" fontId="8" fillId="2" borderId="0" xfId="3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5">
    <cellStyle name="Accent6" xfId="3" builtinId="49"/>
    <cellStyle name="Comma" xfId="1" builtinId="3"/>
    <cellStyle name="Hyperlink" xfId="4" builtinId="8"/>
    <cellStyle name="Normal" xfId="0" builtinId="0"/>
    <cellStyle name="Percent" xfId="2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0</xdr:rowOff>
    </xdr:from>
    <xdr:to>
      <xdr:col>3</xdr:col>
      <xdr:colOff>171173</xdr:colOff>
      <xdr:row>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8A03CF-413C-44E9-939A-3439C053F8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46051" y="0"/>
          <a:ext cx="1471585" cy="720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</xdr:colOff>
      <xdr:row>0</xdr:row>
      <xdr:rowOff>21249</xdr:rowOff>
    </xdr:from>
    <xdr:to>
      <xdr:col>2</xdr:col>
      <xdr:colOff>651724</xdr:colOff>
      <xdr:row>3</xdr:row>
      <xdr:rowOff>90917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6E0D4B-0A9A-48F6-8134-6A8E13CCA2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27584" y="21249"/>
          <a:ext cx="1260740" cy="6221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0</xdr:rowOff>
    </xdr:from>
    <xdr:to>
      <xdr:col>3</xdr:col>
      <xdr:colOff>271436</xdr:colOff>
      <xdr:row>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A7233-350E-483C-A751-7A1534866F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46051" y="0"/>
          <a:ext cx="1471585" cy="7207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0</xdr:rowOff>
    </xdr:from>
    <xdr:to>
      <xdr:col>3</xdr:col>
      <xdr:colOff>271436</xdr:colOff>
      <xdr:row>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F5A3C7-6A0A-4CE2-92CE-6BE1E6A200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628651" y="0"/>
          <a:ext cx="1471585" cy="7207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0</xdr:rowOff>
    </xdr:from>
    <xdr:to>
      <xdr:col>2</xdr:col>
      <xdr:colOff>881036</xdr:colOff>
      <xdr:row>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D87A44-88DC-4F2B-B13D-8DE99BE6EF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46051" y="0"/>
          <a:ext cx="1471585" cy="7207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bham%20Vaish\Desktop\DCF%20EV.xlsx" TargetMode="External"/><Relationship Id="rId1" Type="http://schemas.openxmlformats.org/officeDocument/2006/relationships/externalLinkPath" Target="DCF%20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CF&gt;"/>
      <sheetName val="WACC"/>
      <sheetName val="Data&gt;"/>
      <sheetName val="Beta - Regression"/>
      <sheetName val="Beta Comps"/>
      <sheetName val="RM"/>
    </sheetNames>
    <sheetDataSet>
      <sheetData sheetId="0" refreshError="1"/>
      <sheetData sheetId="1">
        <row r="26">
          <cell r="K26">
            <v>6.3759999999999997E-2</v>
          </cell>
        </row>
      </sheetData>
      <sheetData sheetId="2" refreshError="1"/>
      <sheetData sheetId="3" refreshError="1"/>
      <sheetData sheetId="4">
        <row r="7">
          <cell r="E7">
            <v>398681.24</v>
          </cell>
          <cell r="F7">
            <v>129024.58</v>
          </cell>
        </row>
        <row r="8">
          <cell r="E8">
            <v>396262.16</v>
          </cell>
          <cell r="F8">
            <v>87</v>
          </cell>
        </row>
        <row r="9">
          <cell r="E9">
            <v>245201.84</v>
          </cell>
          <cell r="F9">
            <v>71540</v>
          </cell>
        </row>
        <row r="10">
          <cell r="E10">
            <v>174989.35</v>
          </cell>
          <cell r="F10">
            <v>847.29</v>
          </cell>
        </row>
        <row r="11">
          <cell r="E11">
            <v>22313.48</v>
          </cell>
          <cell r="F11">
            <v>17.43</v>
          </cell>
        </row>
      </sheetData>
      <sheetData sheetId="5">
        <row r="10">
          <cell r="F10">
            <v>0.16574799999999998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604BD-AB3B-46DB-BA6F-3B3EC6EE845F}">
  <sheetPr>
    <tabColor rgb="FF002060"/>
  </sheetPr>
  <dimension ref="A1"/>
  <sheetViews>
    <sheetView workbookViewId="0">
      <selection activeCell="J13" sqref="J1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C511-9D56-48F5-9612-82DDD55601AB}">
  <dimension ref="A1:M47"/>
  <sheetViews>
    <sheetView tabSelected="1" zoomScale="76" workbookViewId="0">
      <selection activeCell="O5" sqref="O5"/>
    </sheetView>
  </sheetViews>
  <sheetFormatPr defaultRowHeight="14.5" x14ac:dyDescent="0.35"/>
  <cols>
    <col min="1" max="1" width="1.81640625" customWidth="1"/>
    <col min="3" max="3" width="10.1796875" bestFit="1" customWidth="1"/>
    <col min="5" max="5" width="10.1796875" bestFit="1" customWidth="1"/>
    <col min="6" max="6" width="10.81640625" bestFit="1" customWidth="1"/>
    <col min="12" max="12" width="14.08984375" customWidth="1"/>
    <col min="13" max="13" width="13.7265625" customWidth="1"/>
  </cols>
  <sheetData>
    <row r="1" spans="1:13" x14ac:dyDescent="0.35">
      <c r="B1" s="44"/>
      <c r="C1" s="44"/>
      <c r="D1" s="44"/>
      <c r="E1" s="44"/>
      <c r="F1" s="44"/>
      <c r="G1" s="44"/>
      <c r="H1" s="44"/>
      <c r="I1" s="44"/>
      <c r="J1" s="44"/>
      <c r="K1" s="44"/>
      <c r="L1" s="139" t="s">
        <v>1</v>
      </c>
      <c r="M1" s="138"/>
    </row>
    <row r="2" spans="1:13" x14ac:dyDescent="0.35">
      <c r="B2" s="44"/>
      <c r="C2" s="44"/>
      <c r="D2" s="44"/>
      <c r="E2" s="44"/>
      <c r="F2" s="44"/>
      <c r="G2" s="44"/>
      <c r="H2" s="44"/>
      <c r="I2" s="44"/>
      <c r="J2" s="44"/>
      <c r="K2" s="44"/>
      <c r="L2" s="138"/>
      <c r="M2" s="138"/>
    </row>
    <row r="3" spans="1:13" x14ac:dyDescent="0.35">
      <c r="B3" s="44"/>
      <c r="C3" s="44"/>
      <c r="D3" s="44"/>
      <c r="E3" s="44"/>
      <c r="F3" s="44"/>
      <c r="G3" s="44"/>
      <c r="H3" s="44"/>
      <c r="I3" s="44"/>
      <c r="J3" s="44"/>
      <c r="K3" s="44"/>
      <c r="L3" s="138"/>
      <c r="M3" s="138"/>
    </row>
    <row r="4" spans="1:13" x14ac:dyDescent="0.35">
      <c r="B4" s="44"/>
      <c r="C4" s="44"/>
      <c r="D4" s="44"/>
      <c r="E4" s="44"/>
      <c r="F4" s="44"/>
      <c r="G4" s="44"/>
      <c r="H4" s="44"/>
      <c r="I4" s="44"/>
      <c r="J4" s="44"/>
      <c r="K4" s="44"/>
      <c r="L4" s="138"/>
      <c r="M4" s="138"/>
    </row>
    <row r="6" spans="1:13" ht="18.5" x14ac:dyDescent="0.45">
      <c r="B6" s="45" t="s">
        <v>121</v>
      </c>
      <c r="C6" s="18"/>
      <c r="D6" s="18"/>
      <c r="E6" s="18"/>
      <c r="F6" s="18"/>
      <c r="G6" s="18"/>
      <c r="H6" s="18"/>
      <c r="I6" s="18"/>
      <c r="J6" s="18"/>
      <c r="K6" s="18"/>
    </row>
    <row r="8" spans="1:13" x14ac:dyDescent="0.35">
      <c r="A8" s="46"/>
      <c r="B8" s="47" t="s">
        <v>122</v>
      </c>
      <c r="C8" s="46"/>
      <c r="D8" s="46"/>
      <c r="E8" s="46"/>
      <c r="F8" s="46"/>
      <c r="G8" s="46"/>
      <c r="H8" s="46"/>
      <c r="I8" s="46"/>
      <c r="J8" s="46"/>
      <c r="K8" s="46"/>
    </row>
    <row r="10" spans="1:13" x14ac:dyDescent="0.35">
      <c r="B10" s="48" t="s">
        <v>123</v>
      </c>
      <c r="C10" s="49"/>
      <c r="D10" s="49"/>
      <c r="E10" s="49"/>
      <c r="F10" s="49"/>
      <c r="G10" s="49"/>
      <c r="H10" s="49"/>
      <c r="I10" s="49"/>
      <c r="J10" s="49"/>
      <c r="K10" s="49"/>
    </row>
    <row r="11" spans="1:13" x14ac:dyDescent="0.35">
      <c r="H11" s="50" t="s">
        <v>124</v>
      </c>
      <c r="I11" s="50" t="s">
        <v>124</v>
      </c>
      <c r="J11" s="50" t="s">
        <v>125</v>
      </c>
      <c r="K11" s="50" t="s">
        <v>126</v>
      </c>
    </row>
    <row r="12" spans="1:13" ht="16.5" x14ac:dyDescent="0.35">
      <c r="B12" s="48" t="s">
        <v>127</v>
      </c>
      <c r="C12" s="48"/>
      <c r="D12" s="48" t="s">
        <v>128</v>
      </c>
      <c r="E12" s="48" t="s">
        <v>129</v>
      </c>
      <c r="F12" s="48" t="s">
        <v>130</v>
      </c>
      <c r="G12" s="48" t="s">
        <v>131</v>
      </c>
      <c r="H12" s="51" t="s">
        <v>132</v>
      </c>
      <c r="I12" s="51" t="s">
        <v>133</v>
      </c>
      <c r="J12" s="51" t="s">
        <v>134</v>
      </c>
      <c r="K12" s="51" t="s">
        <v>135</v>
      </c>
    </row>
    <row r="14" spans="1:13" x14ac:dyDescent="0.35">
      <c r="B14" s="52" t="s">
        <v>136</v>
      </c>
      <c r="C14" s="52"/>
      <c r="D14" s="52" t="s">
        <v>137</v>
      </c>
      <c r="E14" s="53">
        <f xml:space="preserve"> ('[1]Beta Comps'!F7)</f>
        <v>129024.58</v>
      </c>
      <c r="F14" s="53">
        <f>('[1]Beta Comps'!E7)</f>
        <v>398681.24</v>
      </c>
      <c r="G14" s="54">
        <v>0.25</v>
      </c>
      <c r="H14" s="25">
        <f>E14/F14</f>
        <v>0.32362842053967728</v>
      </c>
      <c r="I14" s="25">
        <f>E14/(E14+F14)</f>
        <v>0.24450096078152031</v>
      </c>
      <c r="J14" s="55">
        <v>1.35</v>
      </c>
      <c r="K14" s="56">
        <f>J14/(1+(1-G14)*H14)</f>
        <v>1.0863256172284301</v>
      </c>
    </row>
    <row r="15" spans="1:13" x14ac:dyDescent="0.35">
      <c r="B15" s="52" t="s">
        <v>138</v>
      </c>
      <c r="C15" s="52"/>
      <c r="D15" s="52" t="s">
        <v>137</v>
      </c>
      <c r="E15" s="53">
        <f xml:space="preserve"> ('[1]Beta Comps'!F8)</f>
        <v>87</v>
      </c>
      <c r="F15" s="53">
        <f>('[1]Beta Comps'!E8)</f>
        <v>396262.16</v>
      </c>
      <c r="G15" s="54">
        <v>0.25</v>
      </c>
      <c r="H15" s="25">
        <f t="shared" ref="H15:H18" si="0">E15/F15</f>
        <v>2.1955162208776131E-4</v>
      </c>
      <c r="I15" s="25">
        <f t="shared" ref="I15:I18" si="1">E15/(E15+F15)</f>
        <v>2.1950342975370505E-4</v>
      </c>
      <c r="J15" s="55">
        <v>0.94599999999999995</v>
      </c>
      <c r="K15" s="56">
        <f t="shared" ref="K15:K18" si="2">J15/(1+(1-G15)*H15)</f>
        <v>0.94584425376988179</v>
      </c>
    </row>
    <row r="16" spans="1:13" x14ac:dyDescent="0.35">
      <c r="B16" s="52" t="s">
        <v>139</v>
      </c>
      <c r="C16" s="52"/>
      <c r="D16" s="52" t="s">
        <v>137</v>
      </c>
      <c r="E16" s="53">
        <f xml:space="preserve"> ('[1]Beta Comps'!F9)</f>
        <v>71540</v>
      </c>
      <c r="F16" s="53">
        <f>('[1]Beta Comps'!E9)</f>
        <v>245201.84</v>
      </c>
      <c r="G16" s="54">
        <v>0.25</v>
      </c>
      <c r="H16" s="25">
        <f t="shared" si="0"/>
        <v>0.29175963769276775</v>
      </c>
      <c r="I16" s="25">
        <f t="shared" si="1"/>
        <v>0.22586217217150728</v>
      </c>
      <c r="J16" s="55">
        <v>1.26</v>
      </c>
      <c r="K16" s="56">
        <f t="shared" si="2"/>
        <v>1.0337870078529907</v>
      </c>
    </row>
    <row r="17" spans="2:11" x14ac:dyDescent="0.35">
      <c r="B17" s="52" t="s">
        <v>140</v>
      </c>
      <c r="C17" s="52"/>
      <c r="D17" s="52" t="s">
        <v>137</v>
      </c>
      <c r="E17" s="53">
        <f xml:space="preserve"> ('[1]Beta Comps'!F10)</f>
        <v>847.29</v>
      </c>
      <c r="F17" s="53">
        <f>('[1]Beta Comps'!E10)</f>
        <v>174989.35</v>
      </c>
      <c r="G17" s="54">
        <v>0.25</v>
      </c>
      <c r="H17" s="25">
        <f t="shared" si="0"/>
        <v>4.8419518102101634E-3</v>
      </c>
      <c r="I17" s="25">
        <f t="shared" si="1"/>
        <v>4.8186202830081369E-3</v>
      </c>
      <c r="J17" s="55">
        <v>0.80400000000000005</v>
      </c>
      <c r="K17" s="56">
        <f t="shared" si="2"/>
        <v>0.80109086746809011</v>
      </c>
    </row>
    <row r="18" spans="2:11" x14ac:dyDescent="0.35">
      <c r="B18" s="52" t="s">
        <v>141</v>
      </c>
      <c r="C18" s="52"/>
      <c r="D18" s="52" t="s">
        <v>137</v>
      </c>
      <c r="E18" s="53">
        <f xml:space="preserve"> ('[1]Beta Comps'!F11)</f>
        <v>17.43</v>
      </c>
      <c r="F18" s="53">
        <f>('[1]Beta Comps'!E11)</f>
        <v>22313.48</v>
      </c>
      <c r="G18" s="54">
        <v>0.25</v>
      </c>
      <c r="H18" s="25">
        <f t="shared" si="0"/>
        <v>7.8114216159917683E-4</v>
      </c>
      <c r="I18" s="25">
        <f t="shared" si="1"/>
        <v>7.8053245479024367E-4</v>
      </c>
      <c r="J18" s="55">
        <v>0.72099999999999997</v>
      </c>
      <c r="K18" s="56">
        <f t="shared" si="2"/>
        <v>0.72057784469859376</v>
      </c>
    </row>
    <row r="19" spans="2:11" x14ac:dyDescent="0.35">
      <c r="H19" s="12"/>
      <c r="I19" s="12"/>
      <c r="K19" s="12"/>
    </row>
    <row r="20" spans="2:11" x14ac:dyDescent="0.35">
      <c r="F20" s="57" t="s">
        <v>142</v>
      </c>
      <c r="G20" s="58">
        <f>AVERAGE(G14:G18)</f>
        <v>0.25</v>
      </c>
      <c r="H20" s="58">
        <f t="shared" ref="H20:K20" si="3">AVERAGE(H14:H18)</f>
        <v>0.12424614076526844</v>
      </c>
      <c r="I20" s="58">
        <f t="shared" si="3"/>
        <v>9.5236357824115936E-2</v>
      </c>
      <c r="J20" s="59">
        <f t="shared" si="3"/>
        <v>1.0162</v>
      </c>
      <c r="K20" s="59">
        <f t="shared" si="3"/>
        <v>0.91752511820359728</v>
      </c>
    </row>
    <row r="21" spans="2:11" x14ac:dyDescent="0.35">
      <c r="F21" s="48" t="s">
        <v>143</v>
      </c>
      <c r="G21" s="60">
        <f>MEDIAN(G14:G18)</f>
        <v>0.25</v>
      </c>
      <c r="H21" s="60">
        <f t="shared" ref="H21:K21" si="4">MEDIAN(H14:H18)</f>
        <v>4.8419518102101634E-3</v>
      </c>
      <c r="I21" s="60">
        <f t="shared" si="4"/>
        <v>4.8186202830081369E-3</v>
      </c>
      <c r="J21" s="61">
        <f t="shared" si="4"/>
        <v>0.94599999999999995</v>
      </c>
      <c r="K21" s="61">
        <f t="shared" si="4"/>
        <v>0.94584425376988179</v>
      </c>
    </row>
    <row r="24" spans="2:11" x14ac:dyDescent="0.35">
      <c r="B24" s="48" t="s">
        <v>144</v>
      </c>
      <c r="C24" s="49"/>
      <c r="D24" s="49"/>
      <c r="E24" s="49"/>
      <c r="G24" s="48" t="s">
        <v>145</v>
      </c>
      <c r="H24" s="49"/>
      <c r="I24" s="49"/>
      <c r="J24" s="49"/>
      <c r="K24" s="49"/>
    </row>
    <row r="26" spans="2:11" x14ac:dyDescent="0.35">
      <c r="B26" s="12" t="s">
        <v>146</v>
      </c>
      <c r="E26" s="62">
        <f>1076/71540</f>
        <v>1.5040536762650266E-2</v>
      </c>
      <c r="G26" s="12" t="s">
        <v>147</v>
      </c>
      <c r="K26" s="62">
        <v>6.3759999999999997E-2</v>
      </c>
    </row>
    <row r="27" spans="2:11" x14ac:dyDescent="0.35">
      <c r="B27" s="12" t="s">
        <v>148</v>
      </c>
      <c r="E27" s="62">
        <v>0.25</v>
      </c>
      <c r="G27" s="12" t="s">
        <v>149</v>
      </c>
      <c r="K27" s="63">
        <f>[1]RM!F10-[1]WACC!K26</f>
        <v>0.10198799999999998</v>
      </c>
    </row>
    <row r="28" spans="2:11" ht="16.5" x14ac:dyDescent="0.35">
      <c r="B28" s="64" t="s">
        <v>150</v>
      </c>
      <c r="C28" s="65"/>
      <c r="D28" s="65"/>
      <c r="E28" s="66">
        <f>E26*(1-E27)</f>
        <v>1.1280402571987699E-2</v>
      </c>
      <c r="G28" s="12" t="s">
        <v>151</v>
      </c>
      <c r="K28" s="56">
        <f>K37</f>
        <v>1.0205146629233266</v>
      </c>
    </row>
    <row r="29" spans="2:11" x14ac:dyDescent="0.35">
      <c r="G29" s="64" t="s">
        <v>145</v>
      </c>
      <c r="H29" s="65"/>
      <c r="I29" s="65"/>
      <c r="J29" s="65"/>
      <c r="K29" s="67">
        <f>K26+K27*K28</f>
        <v>0.1678402494422242</v>
      </c>
    </row>
    <row r="32" spans="2:11" x14ac:dyDescent="0.35">
      <c r="B32" s="48" t="s">
        <v>152</v>
      </c>
      <c r="C32" s="49"/>
      <c r="D32" s="49"/>
      <c r="E32" s="49"/>
      <c r="G32" s="48" t="s">
        <v>153</v>
      </c>
      <c r="H32" s="49"/>
      <c r="I32" s="49"/>
      <c r="J32" s="49"/>
      <c r="K32" s="49"/>
    </row>
    <row r="34" spans="2:11" x14ac:dyDescent="0.35">
      <c r="D34" s="51" t="s">
        <v>154</v>
      </c>
      <c r="E34" s="51" t="s">
        <v>155</v>
      </c>
      <c r="G34" s="12" t="s">
        <v>156</v>
      </c>
      <c r="K34" s="56">
        <f>K21</f>
        <v>0.94584425376988179</v>
      </c>
    </row>
    <row r="35" spans="2:11" x14ac:dyDescent="0.35">
      <c r="B35" s="12" t="s">
        <v>157</v>
      </c>
      <c r="C35" s="53">
        <f>E16</f>
        <v>71540</v>
      </c>
      <c r="D35" s="25">
        <f>C35/$C$37</f>
        <v>0.22586217217150728</v>
      </c>
      <c r="E35" s="54">
        <f>I20</f>
        <v>9.5236357824115936E-2</v>
      </c>
      <c r="G35" s="12" t="s">
        <v>158</v>
      </c>
      <c r="K35" s="68">
        <f>E39</f>
        <v>0.10526103546234476</v>
      </c>
    </row>
    <row r="36" spans="2:11" x14ac:dyDescent="0.35">
      <c r="B36" s="12" t="s">
        <v>9</v>
      </c>
      <c r="C36" s="53">
        <f>F16</f>
        <v>245201.84</v>
      </c>
      <c r="D36" s="69">
        <f>C36/$C$37</f>
        <v>0.77413782782849283</v>
      </c>
      <c r="E36" s="70">
        <f>E37-E35</f>
        <v>0.90476364217588401</v>
      </c>
      <c r="G36" s="12" t="s">
        <v>148</v>
      </c>
      <c r="K36" s="68">
        <f>G16</f>
        <v>0.25</v>
      </c>
    </row>
    <row r="37" spans="2:11" x14ac:dyDescent="0.35">
      <c r="B37" s="64" t="s">
        <v>159</v>
      </c>
      <c r="C37" s="71">
        <f>SUM(C35,C36)</f>
        <v>316741.83999999997</v>
      </c>
      <c r="D37" s="72">
        <f>C37/$C$37</f>
        <v>1</v>
      </c>
      <c r="E37" s="67">
        <f>D37</f>
        <v>1</v>
      </c>
      <c r="G37" s="64" t="s">
        <v>153</v>
      </c>
      <c r="H37" s="65"/>
      <c r="I37" s="65"/>
      <c r="J37" s="65"/>
      <c r="K37" s="73">
        <f>K34*(1+(1-K36)*K35)</f>
        <v>1.0205146629233266</v>
      </c>
    </row>
    <row r="38" spans="2:11" x14ac:dyDescent="0.35">
      <c r="C38" s="12"/>
      <c r="D38" s="12"/>
      <c r="E38" s="12"/>
    </row>
    <row r="39" spans="2:11" x14ac:dyDescent="0.35">
      <c r="B39" s="12" t="s">
        <v>160</v>
      </c>
      <c r="C39" s="12"/>
      <c r="D39" s="74">
        <f>D35/D36</f>
        <v>0.29175963769276775</v>
      </c>
      <c r="E39" s="74">
        <f>E35/E36</f>
        <v>0.10526103546234476</v>
      </c>
      <c r="G39" s="48" t="s">
        <v>121</v>
      </c>
      <c r="H39" s="49"/>
      <c r="I39" s="49"/>
      <c r="J39" s="49"/>
      <c r="K39" s="49"/>
    </row>
    <row r="41" spans="2:11" x14ac:dyDescent="0.35">
      <c r="B41" s="75" t="s">
        <v>161</v>
      </c>
      <c r="G41" s="12" t="s">
        <v>145</v>
      </c>
      <c r="J41" s="50"/>
      <c r="K41" s="76">
        <f>K29</f>
        <v>0.1678402494422242</v>
      </c>
    </row>
    <row r="42" spans="2:11" x14ac:dyDescent="0.35">
      <c r="B42" s="77" t="s">
        <v>162</v>
      </c>
      <c r="G42" s="12" t="s">
        <v>163</v>
      </c>
      <c r="J42" s="68"/>
      <c r="K42" s="68">
        <f>E36</f>
        <v>0.90476364217588401</v>
      </c>
    </row>
    <row r="43" spans="2:11" x14ac:dyDescent="0.35">
      <c r="B43" s="77" t="s">
        <v>164</v>
      </c>
      <c r="G43" s="12"/>
      <c r="J43" s="68"/>
      <c r="K43" s="68"/>
    </row>
    <row r="44" spans="2:11" x14ac:dyDescent="0.35">
      <c r="B44" s="77" t="s">
        <v>165</v>
      </c>
      <c r="G44" s="12" t="s">
        <v>144</v>
      </c>
      <c r="K44" s="69">
        <f>E28</f>
        <v>1.1280402571987699E-2</v>
      </c>
    </row>
    <row r="45" spans="2:11" x14ac:dyDescent="0.35">
      <c r="B45" s="77" t="s">
        <v>166</v>
      </c>
      <c r="G45" s="12" t="s">
        <v>167</v>
      </c>
      <c r="K45" s="68">
        <f>E35</f>
        <v>9.5236357824115936E-2</v>
      </c>
    </row>
    <row r="47" spans="2:11" x14ac:dyDescent="0.35">
      <c r="G47" s="78" t="s">
        <v>168</v>
      </c>
      <c r="H47" s="78"/>
      <c r="I47" s="78"/>
      <c r="J47" s="78"/>
      <c r="K47" s="79">
        <f>(K41*K42)+(K44*K45)</f>
        <v>0.15293005984480157</v>
      </c>
    </row>
  </sheetData>
  <mergeCells count="1">
    <mergeCell ref="L1:M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2C9D-AE65-4E9D-9DB2-9E4BD1CDC57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83B70-5081-4878-AF2C-3FD83C0F908B}">
  <sheetPr>
    <tabColor theme="8" tint="-0.499984740745262"/>
  </sheetPr>
  <dimension ref="F18"/>
  <sheetViews>
    <sheetView workbookViewId="0">
      <selection activeCell="B2" sqref="B2"/>
    </sheetView>
  </sheetViews>
  <sheetFormatPr defaultRowHeight="14.5" x14ac:dyDescent="0.35"/>
  <cols>
    <col min="1" max="1" width="2.1796875" customWidth="1"/>
  </cols>
  <sheetData>
    <row r="18" spans="6:6" x14ac:dyDescent="0.35">
      <c r="F18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C6532-344E-437D-BB65-22DC5216520F}">
  <dimension ref="B1:G11"/>
  <sheetViews>
    <sheetView workbookViewId="0">
      <selection activeCell="J5" sqref="J5"/>
    </sheetView>
  </sheetViews>
  <sheetFormatPr defaultRowHeight="14.5" x14ac:dyDescent="0.35"/>
  <cols>
    <col min="1" max="1" width="1.81640625" customWidth="1"/>
    <col min="3" max="3" width="14.54296875" bestFit="1" customWidth="1"/>
    <col min="5" max="5" width="13.26953125" bestFit="1" customWidth="1"/>
    <col min="6" max="6" width="10.08984375" bestFit="1" customWidth="1"/>
  </cols>
  <sheetData>
    <row r="1" spans="2:7" x14ac:dyDescent="0.35">
      <c r="B1" s="44"/>
      <c r="C1" s="44"/>
      <c r="D1" s="44"/>
      <c r="E1" s="44"/>
      <c r="F1" s="44"/>
      <c r="G1" s="44"/>
    </row>
    <row r="2" spans="2:7" x14ac:dyDescent="0.35">
      <c r="B2" s="44"/>
      <c r="C2" s="44"/>
      <c r="D2" s="44"/>
      <c r="E2" s="44"/>
      <c r="F2" s="44"/>
      <c r="G2" s="44"/>
    </row>
    <row r="3" spans="2:7" x14ac:dyDescent="0.35">
      <c r="B3" s="44"/>
      <c r="C3" s="44"/>
      <c r="D3" s="44"/>
      <c r="E3" s="44"/>
      <c r="F3" s="44"/>
      <c r="G3" s="44"/>
    </row>
    <row r="4" spans="2:7" x14ac:dyDescent="0.35">
      <c r="B4" s="44"/>
      <c r="C4" s="44"/>
      <c r="D4" s="44"/>
      <c r="E4" s="44"/>
      <c r="F4" s="44"/>
      <c r="G4" s="44"/>
    </row>
    <row r="5" spans="2:7" x14ac:dyDescent="0.35">
      <c r="B5" s="21"/>
      <c r="C5" s="21"/>
      <c r="D5" s="21"/>
      <c r="E5" s="21"/>
      <c r="F5" s="21"/>
      <c r="G5" s="21"/>
    </row>
    <row r="6" spans="2:7" x14ac:dyDescent="0.35">
      <c r="B6" t="s">
        <v>169</v>
      </c>
      <c r="C6" t="s">
        <v>170</v>
      </c>
      <c r="D6" t="s">
        <v>171</v>
      </c>
      <c r="E6" t="s">
        <v>172</v>
      </c>
      <c r="F6" t="s">
        <v>173</v>
      </c>
      <c r="G6" t="s">
        <v>174</v>
      </c>
    </row>
    <row r="7" spans="2:7" x14ac:dyDescent="0.35">
      <c r="B7" s="80">
        <v>1</v>
      </c>
      <c r="C7" t="s">
        <v>136</v>
      </c>
      <c r="D7">
        <v>3203.1</v>
      </c>
      <c r="E7">
        <v>398681.24</v>
      </c>
      <c r="F7">
        <v>129024.58</v>
      </c>
      <c r="G7">
        <v>1.67</v>
      </c>
    </row>
    <row r="8" spans="2:7" x14ac:dyDescent="0.35">
      <c r="B8" s="80">
        <v>2</v>
      </c>
      <c r="C8" t="s">
        <v>138</v>
      </c>
      <c r="D8">
        <v>12608</v>
      </c>
      <c r="E8">
        <v>396262.16</v>
      </c>
      <c r="F8">
        <v>87</v>
      </c>
      <c r="G8">
        <v>0</v>
      </c>
    </row>
    <row r="9" spans="2:7" x14ac:dyDescent="0.35">
      <c r="B9" s="80">
        <v>3</v>
      </c>
      <c r="C9" t="s">
        <v>139</v>
      </c>
      <c r="D9">
        <v>665.95</v>
      </c>
      <c r="E9">
        <v>245201.84</v>
      </c>
      <c r="F9">
        <v>71540</v>
      </c>
      <c r="G9">
        <v>0.62</v>
      </c>
    </row>
    <row r="10" spans="2:7" x14ac:dyDescent="0.35">
      <c r="B10" s="80">
        <v>4</v>
      </c>
      <c r="C10" t="s">
        <v>140</v>
      </c>
      <c r="D10">
        <v>2151.8000000000002</v>
      </c>
      <c r="E10">
        <v>174989.35</v>
      </c>
      <c r="F10">
        <v>847.29</v>
      </c>
      <c r="G10">
        <v>0.05</v>
      </c>
    </row>
    <row r="11" spans="2:7" x14ac:dyDescent="0.35">
      <c r="B11" s="80">
        <v>5</v>
      </c>
      <c r="C11" t="s">
        <v>141</v>
      </c>
      <c r="D11">
        <v>16944</v>
      </c>
      <c r="E11">
        <v>22313.48</v>
      </c>
      <c r="F11">
        <v>17.43</v>
      </c>
      <c r="G11">
        <v>0.01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C2FC7-DFD9-468B-AD51-76A2ED3D33B3}">
  <dimension ref="B1:F33"/>
  <sheetViews>
    <sheetView workbookViewId="0">
      <selection activeCell="E2" sqref="E2"/>
    </sheetView>
  </sheetViews>
  <sheetFormatPr defaultRowHeight="14.5" x14ac:dyDescent="0.35"/>
  <cols>
    <col min="5" max="5" width="18.08984375" bestFit="1" customWidth="1"/>
  </cols>
  <sheetData>
    <row r="1" spans="2:6" x14ac:dyDescent="0.35">
      <c r="B1" s="82"/>
      <c r="C1" s="44"/>
      <c r="D1" s="44"/>
      <c r="E1" s="44"/>
      <c r="F1" s="44"/>
    </row>
    <row r="2" spans="2:6" x14ac:dyDescent="0.35">
      <c r="B2" s="82"/>
      <c r="C2" s="44"/>
      <c r="D2" s="44"/>
      <c r="E2" s="44"/>
      <c r="F2" s="44"/>
    </row>
    <row r="3" spans="2:6" x14ac:dyDescent="0.35">
      <c r="B3" s="82"/>
      <c r="C3" s="44"/>
      <c r="D3" s="44"/>
      <c r="E3" s="44"/>
      <c r="F3" s="44"/>
    </row>
    <row r="4" spans="2:6" x14ac:dyDescent="0.35">
      <c r="B4" s="82"/>
      <c r="C4" s="44"/>
      <c r="D4" s="44"/>
      <c r="E4" s="44"/>
      <c r="F4" s="44"/>
    </row>
    <row r="5" spans="2:6" x14ac:dyDescent="0.35">
      <c r="B5" s="80"/>
    </row>
    <row r="6" spans="2:6" x14ac:dyDescent="0.35">
      <c r="B6" s="83" t="s">
        <v>175</v>
      </c>
    </row>
    <row r="7" spans="2:6" x14ac:dyDescent="0.35">
      <c r="B7" s="80"/>
    </row>
    <row r="8" spans="2:6" x14ac:dyDescent="0.35">
      <c r="B8" s="80" t="s">
        <v>176</v>
      </c>
      <c r="C8" s="81" t="s">
        <v>177</v>
      </c>
      <c r="E8" t="s">
        <v>178</v>
      </c>
      <c r="F8" s="63">
        <f>AVERAGE(C9:C33)</f>
        <v>0.15334799999999998</v>
      </c>
    </row>
    <row r="9" spans="2:6" x14ac:dyDescent="0.35">
      <c r="B9" s="80">
        <v>2000</v>
      </c>
      <c r="C9" s="63">
        <v>-0.14649999999999999</v>
      </c>
      <c r="E9" t="s">
        <v>179</v>
      </c>
      <c r="F9" s="63">
        <v>1.24E-2</v>
      </c>
    </row>
    <row r="10" spans="2:6" x14ac:dyDescent="0.35">
      <c r="B10" s="80">
        <v>2001</v>
      </c>
      <c r="C10" s="63">
        <v>-0.1618</v>
      </c>
      <c r="E10" s="78" t="s">
        <v>180</v>
      </c>
      <c r="F10" s="79">
        <f>SUM(F8:F9)</f>
        <v>0.16574799999999998</v>
      </c>
    </row>
    <row r="11" spans="2:6" x14ac:dyDescent="0.35">
      <c r="B11" s="80">
        <v>2002</v>
      </c>
      <c r="C11" s="63">
        <v>3.2500000000000001E-2</v>
      </c>
    </row>
    <row r="12" spans="2:6" x14ac:dyDescent="0.35">
      <c r="B12" s="80">
        <v>2003</v>
      </c>
      <c r="C12" s="63">
        <v>0.71899999999999997</v>
      </c>
    </row>
    <row r="13" spans="2:6" x14ac:dyDescent="0.35">
      <c r="B13" s="80">
        <v>2004</v>
      </c>
      <c r="C13" s="63">
        <v>0.10680000000000001</v>
      </c>
    </row>
    <row r="14" spans="2:6" x14ac:dyDescent="0.35">
      <c r="B14" s="80">
        <v>2005</v>
      </c>
      <c r="C14" s="63">
        <v>0.3634</v>
      </c>
    </row>
    <row r="15" spans="2:6" x14ac:dyDescent="0.35">
      <c r="B15" s="80">
        <v>2006</v>
      </c>
      <c r="C15" s="63">
        <v>0.39829999999999999</v>
      </c>
    </row>
    <row r="16" spans="2:6" x14ac:dyDescent="0.35">
      <c r="B16" s="80">
        <v>2007</v>
      </c>
      <c r="C16" s="63">
        <v>0.54769999999999996</v>
      </c>
    </row>
    <row r="17" spans="2:3" x14ac:dyDescent="0.35">
      <c r="B17" s="80">
        <v>2008</v>
      </c>
      <c r="C17" s="63">
        <v>-0.51790000000000003</v>
      </c>
    </row>
    <row r="18" spans="2:3" x14ac:dyDescent="0.35">
      <c r="B18" s="80">
        <v>2009</v>
      </c>
      <c r="C18" s="63">
        <v>0.75760000000000005</v>
      </c>
    </row>
    <row r="19" spans="2:3" x14ac:dyDescent="0.35">
      <c r="B19" s="80">
        <v>2010</v>
      </c>
      <c r="C19" s="63">
        <v>0.17949999999999999</v>
      </c>
    </row>
    <row r="20" spans="2:3" x14ac:dyDescent="0.35">
      <c r="B20" s="80">
        <v>2011</v>
      </c>
      <c r="C20" s="63">
        <v>-0.2462</v>
      </c>
    </row>
    <row r="21" spans="2:3" x14ac:dyDescent="0.35">
      <c r="B21" s="80">
        <v>2012</v>
      </c>
      <c r="C21" s="63">
        <v>0.27700000000000002</v>
      </c>
    </row>
    <row r="22" spans="2:3" x14ac:dyDescent="0.35">
      <c r="B22" s="80">
        <v>2013</v>
      </c>
      <c r="C22" s="63">
        <v>6.7599999999999993E-2</v>
      </c>
    </row>
    <row r="23" spans="2:3" x14ac:dyDescent="0.35">
      <c r="B23" s="80">
        <v>2014</v>
      </c>
      <c r="C23" s="63">
        <v>0.31390000000000001</v>
      </c>
    </row>
    <row r="24" spans="2:3" x14ac:dyDescent="0.35">
      <c r="B24" s="80">
        <v>2015</v>
      </c>
      <c r="C24" s="63">
        <v>-4.0599999999999997E-2</v>
      </c>
    </row>
    <row r="25" spans="2:3" x14ac:dyDescent="0.35">
      <c r="B25" s="80">
        <v>2016</v>
      </c>
      <c r="C25" s="63">
        <v>3.0099999999999998E-2</v>
      </c>
    </row>
    <row r="26" spans="2:3" x14ac:dyDescent="0.35">
      <c r="B26" s="80">
        <v>2017</v>
      </c>
      <c r="C26" s="63">
        <v>0.28649999999999998</v>
      </c>
    </row>
    <row r="27" spans="2:3" x14ac:dyDescent="0.35">
      <c r="B27" s="80">
        <v>2018</v>
      </c>
      <c r="C27" s="63">
        <v>3.15E-2</v>
      </c>
    </row>
    <row r="28" spans="2:3" x14ac:dyDescent="0.35">
      <c r="B28" s="80">
        <v>2019</v>
      </c>
      <c r="C28" s="63">
        <v>0.1202</v>
      </c>
    </row>
    <row r="29" spans="2:3" x14ac:dyDescent="0.35">
      <c r="B29" s="80">
        <v>2020</v>
      </c>
      <c r="C29" s="63">
        <v>0.14899999999999999</v>
      </c>
    </row>
    <row r="30" spans="2:3" x14ac:dyDescent="0.35">
      <c r="B30" s="80">
        <v>2021</v>
      </c>
      <c r="C30" s="63">
        <v>0.2412</v>
      </c>
    </row>
    <row r="31" spans="2:3" x14ac:dyDescent="0.35">
      <c r="B31" s="80">
        <v>2022</v>
      </c>
      <c r="C31" s="63">
        <v>4.3200000000000002E-2</v>
      </c>
    </row>
    <row r="32" spans="2:3" x14ac:dyDescent="0.35">
      <c r="B32" s="80">
        <v>2023</v>
      </c>
      <c r="C32" s="63">
        <v>0.19420000000000001</v>
      </c>
    </row>
    <row r="33" spans="2:3" x14ac:dyDescent="0.35">
      <c r="B33" s="80">
        <v>2024</v>
      </c>
      <c r="C33" s="63">
        <v>8.7499999999999994E-2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0DDCF-A6E2-44DE-9AF1-171171911274}">
  <sheetPr>
    <pageSetUpPr fitToPage="1"/>
  </sheetPr>
  <dimension ref="A1:M67"/>
  <sheetViews>
    <sheetView showGridLines="0" topLeftCell="B1" zoomScale="83" workbookViewId="0">
      <selection activeCell="M7" sqref="M7"/>
    </sheetView>
  </sheetViews>
  <sheetFormatPr defaultRowHeight="14.5" x14ac:dyDescent="0.35"/>
  <cols>
    <col min="1" max="1" width="1.81640625" customWidth="1"/>
    <col min="7" max="7" width="13.1796875" bestFit="1" customWidth="1"/>
    <col min="8" max="8" width="20" bestFit="1" customWidth="1"/>
    <col min="9" max="11" width="13.1796875" bestFit="1" customWidth="1"/>
    <col min="12" max="12" width="12.81640625" customWidth="1"/>
    <col min="13" max="13" width="12" customWidth="1"/>
    <col min="2000" max="2000" width="2.453125" customWidth="1"/>
  </cols>
  <sheetData>
    <row r="1" spans="1:13" x14ac:dyDescent="0.35">
      <c r="B1" s="44"/>
      <c r="C1" s="44"/>
      <c r="D1" s="44"/>
      <c r="E1" s="44"/>
      <c r="F1" s="44"/>
      <c r="G1" s="44"/>
      <c r="H1" s="44"/>
      <c r="I1" s="44"/>
      <c r="J1" s="44"/>
      <c r="K1" s="44"/>
      <c r="L1" s="139" t="s">
        <v>1</v>
      </c>
      <c r="M1" s="138"/>
    </row>
    <row r="2" spans="1:13" x14ac:dyDescent="0.35">
      <c r="B2" s="44"/>
      <c r="C2" s="44"/>
      <c r="D2" s="44"/>
      <c r="E2" s="44"/>
      <c r="F2" s="44"/>
      <c r="G2" s="44"/>
      <c r="H2" s="44"/>
      <c r="I2" s="44"/>
      <c r="J2" s="44"/>
      <c r="K2" s="44"/>
      <c r="L2" s="138"/>
      <c r="M2" s="138"/>
    </row>
    <row r="3" spans="1:13" x14ac:dyDescent="0.35">
      <c r="B3" s="44"/>
      <c r="C3" s="44"/>
      <c r="D3" s="44"/>
      <c r="E3" s="44"/>
      <c r="F3" s="44"/>
      <c r="G3" s="44"/>
      <c r="H3" s="44"/>
      <c r="I3" s="44"/>
      <c r="J3" s="44"/>
      <c r="K3" s="44"/>
      <c r="L3" s="138"/>
      <c r="M3" s="138"/>
    </row>
    <row r="4" spans="1:13" x14ac:dyDescent="0.35">
      <c r="B4" s="44"/>
      <c r="C4" s="44"/>
      <c r="D4" s="44"/>
      <c r="E4" s="44"/>
      <c r="F4" s="44"/>
      <c r="G4" s="44"/>
      <c r="H4" s="44"/>
      <c r="I4" s="44"/>
      <c r="J4" s="44"/>
      <c r="K4" s="44"/>
      <c r="L4" s="138"/>
      <c r="M4" s="138"/>
    </row>
    <row r="6" spans="1:13" x14ac:dyDescent="0.35">
      <c r="A6" s="12" t="s">
        <v>57</v>
      </c>
      <c r="B6" s="84" t="s">
        <v>212</v>
      </c>
      <c r="C6" s="100"/>
      <c r="D6" s="100"/>
      <c r="E6" s="100"/>
      <c r="F6" s="100"/>
      <c r="G6" s="85" cm="1">
        <f t="array" ref="G6:K6">'Raw FS'!$J$2:N2</f>
        <v>44256</v>
      </c>
      <c r="H6" s="85">
        <v>44621</v>
      </c>
      <c r="I6" s="85">
        <v>44986</v>
      </c>
      <c r="J6" s="85">
        <v>45352</v>
      </c>
      <c r="K6" s="85">
        <v>45717</v>
      </c>
    </row>
    <row r="8" spans="1:13" x14ac:dyDescent="0.35">
      <c r="B8" s="48" t="s">
        <v>213</v>
      </c>
      <c r="C8" s="49"/>
      <c r="D8" s="49"/>
      <c r="E8" s="49"/>
      <c r="F8" s="49"/>
    </row>
    <row r="9" spans="1:13" x14ac:dyDescent="0.35">
      <c r="B9" s="94" t="str" cm="1">
        <f t="array" ref="B9:B10">'Raw FS'!B36:B37</f>
        <v>Inventories</v>
      </c>
      <c r="C9" s="94"/>
      <c r="D9" s="94"/>
      <c r="E9" s="94"/>
      <c r="F9" s="94"/>
      <c r="G9" s="87" cm="1">
        <f t="array" ref="G9:K9">'Raw FS'!J36:N36</f>
        <v>36089</v>
      </c>
      <c r="H9" s="87">
        <v>35240</v>
      </c>
      <c r="I9" s="87">
        <v>40755</v>
      </c>
      <c r="J9" s="87">
        <v>47788</v>
      </c>
      <c r="K9" s="87">
        <v>47269</v>
      </c>
    </row>
    <row r="10" spans="1:13" x14ac:dyDescent="0.35">
      <c r="B10" s="94" t="str">
        <v>Trade receivables +</v>
      </c>
      <c r="C10" s="94"/>
      <c r="D10" s="94"/>
      <c r="E10" s="94"/>
      <c r="F10" s="94"/>
      <c r="G10" s="87" cm="1">
        <f t="array" ref="G10:K10">'Raw FS'!J37:N37</f>
        <v>12679</v>
      </c>
      <c r="H10" s="87">
        <v>12442</v>
      </c>
      <c r="I10" s="87">
        <v>15738</v>
      </c>
      <c r="J10" s="87">
        <v>16952</v>
      </c>
      <c r="K10" s="87">
        <v>13248</v>
      </c>
    </row>
    <row r="11" spans="1:13" x14ac:dyDescent="0.35">
      <c r="B11" s="94" t="str" cm="1">
        <f t="array" ref="B11:B12">'Raw FS'!B39:B40</f>
        <v>Loans n Advances</v>
      </c>
      <c r="C11" s="94"/>
      <c r="D11" s="94"/>
      <c r="E11" s="94"/>
      <c r="F11" s="94"/>
      <c r="G11" s="87" cm="1">
        <f t="array" ref="G11:K12">'Raw FS'!J39:N40</f>
        <v>4520</v>
      </c>
      <c r="H11" s="87">
        <v>4583</v>
      </c>
      <c r="I11" s="87">
        <v>-4029</v>
      </c>
      <c r="J11" s="87">
        <v>-1743</v>
      </c>
      <c r="K11" s="87">
        <v>7552</v>
      </c>
    </row>
    <row r="12" spans="1:13" ht="15" thickBot="1" x14ac:dyDescent="0.4">
      <c r="B12" s="97" t="str">
        <v>Other asset items</v>
      </c>
      <c r="C12" s="97"/>
      <c r="D12" s="97"/>
      <c r="E12" s="97"/>
      <c r="F12" s="97"/>
      <c r="G12" s="88">
        <v>57198</v>
      </c>
      <c r="H12" s="88">
        <v>57641</v>
      </c>
      <c r="I12" s="88">
        <v>72461</v>
      </c>
      <c r="J12" s="88">
        <v>80763</v>
      </c>
      <c r="K12" s="88">
        <v>50911</v>
      </c>
    </row>
    <row r="13" spans="1:13" x14ac:dyDescent="0.35">
      <c r="B13" s="98" t="s">
        <v>83</v>
      </c>
      <c r="C13" s="99"/>
      <c r="D13" s="99"/>
      <c r="E13" s="99"/>
      <c r="F13" s="99"/>
      <c r="G13" s="104">
        <f>SUM(G9:G12)</f>
        <v>110486</v>
      </c>
      <c r="H13" s="104">
        <f t="shared" ref="H13:K13" si="0">SUM(H9:H12)</f>
        <v>109906</v>
      </c>
      <c r="I13" s="104">
        <f t="shared" si="0"/>
        <v>124925</v>
      </c>
      <c r="J13" s="104">
        <f t="shared" si="0"/>
        <v>143760</v>
      </c>
      <c r="K13" s="104">
        <f t="shared" si="0"/>
        <v>118980</v>
      </c>
    </row>
    <row r="14" spans="1:13" x14ac:dyDescent="0.35">
      <c r="G14" s="86"/>
      <c r="H14" s="86"/>
      <c r="I14" s="86"/>
      <c r="J14" s="86"/>
      <c r="K14" s="86"/>
    </row>
    <row r="15" spans="1:13" x14ac:dyDescent="0.35">
      <c r="B15" s="48" t="s">
        <v>214</v>
      </c>
      <c r="C15" s="49"/>
      <c r="D15" s="49"/>
      <c r="E15" s="49"/>
      <c r="F15" s="49"/>
      <c r="G15" s="86"/>
      <c r="H15" s="86"/>
      <c r="I15" s="86"/>
      <c r="J15" s="86"/>
      <c r="K15" s="86"/>
    </row>
    <row r="16" spans="1:13" x14ac:dyDescent="0.35">
      <c r="B16" s="94" t="str" cm="1">
        <f t="array" ref="B16:B18">'Raw FS'!B13:B15</f>
        <v>Trade Payables</v>
      </c>
      <c r="C16" s="94"/>
      <c r="D16" s="94"/>
      <c r="E16" s="94"/>
      <c r="F16" s="94"/>
      <c r="G16" s="87" cm="1">
        <f t="array" ref="G16:K18">'Raw FS'!J13:N15</f>
        <v>76040</v>
      </c>
      <c r="H16" s="87">
        <v>69750</v>
      </c>
      <c r="I16" s="87">
        <v>79252</v>
      </c>
      <c r="J16" s="87">
        <v>93978</v>
      </c>
      <c r="K16" s="87">
        <v>97368</v>
      </c>
    </row>
    <row r="17" spans="1:11" x14ac:dyDescent="0.35">
      <c r="B17" s="94" t="str">
        <v>Advance from Customers</v>
      </c>
      <c r="C17" s="94"/>
      <c r="D17" s="94"/>
      <c r="E17" s="94"/>
      <c r="F17" s="94"/>
      <c r="G17" s="87">
        <v>0</v>
      </c>
      <c r="H17" s="87">
        <v>0</v>
      </c>
      <c r="I17" s="87">
        <v>0</v>
      </c>
      <c r="J17" s="87">
        <v>0</v>
      </c>
      <c r="K17" s="87">
        <v>0</v>
      </c>
    </row>
    <row r="18" spans="1:11" ht="15" thickBot="1" x14ac:dyDescent="0.4">
      <c r="B18" s="95" t="str">
        <v>Other liability items</v>
      </c>
      <c r="C18" s="95"/>
      <c r="D18" s="95"/>
      <c r="E18" s="95"/>
      <c r="F18" s="95"/>
      <c r="G18" s="87">
        <v>66579</v>
      </c>
      <c r="H18" s="87">
        <v>64030</v>
      </c>
      <c r="I18" s="87">
        <v>68710</v>
      </c>
      <c r="J18" s="87">
        <v>75185</v>
      </c>
      <c r="K18" s="87">
        <v>85311</v>
      </c>
    </row>
    <row r="19" spans="1:11" x14ac:dyDescent="0.35">
      <c r="B19" s="98" t="s">
        <v>215</v>
      </c>
      <c r="C19" s="99"/>
      <c r="D19" s="99"/>
      <c r="E19" s="99"/>
      <c r="F19" s="99"/>
      <c r="G19" s="104">
        <f>SUM(G16:G18)</f>
        <v>142619</v>
      </c>
      <c r="H19" s="104">
        <f t="shared" ref="H19:K19" si="1">SUM(H16:H18)</f>
        <v>133780</v>
      </c>
      <c r="I19" s="104">
        <f t="shared" si="1"/>
        <v>147962</v>
      </c>
      <c r="J19" s="104">
        <f t="shared" si="1"/>
        <v>169163</v>
      </c>
      <c r="K19" s="104">
        <f t="shared" si="1"/>
        <v>182679</v>
      </c>
    </row>
    <row r="20" spans="1:11" ht="15" thickBot="1" x14ac:dyDescent="0.4">
      <c r="G20" s="86"/>
      <c r="H20" s="86"/>
      <c r="I20" s="86"/>
      <c r="J20" s="86"/>
      <c r="K20" s="86"/>
    </row>
    <row r="21" spans="1:11" ht="15" thickBot="1" x14ac:dyDescent="0.4">
      <c r="A21" s="12" t="s">
        <v>57</v>
      </c>
      <c r="B21" s="89" t="s">
        <v>216</v>
      </c>
      <c r="C21" s="96"/>
      <c r="D21" s="96"/>
      <c r="E21" s="96"/>
      <c r="F21" s="96"/>
      <c r="G21" s="90">
        <f>G13-G19</f>
        <v>-32133</v>
      </c>
      <c r="H21" s="90">
        <f t="shared" ref="H21:K21" si="2">H13-H19</f>
        <v>-23874</v>
      </c>
      <c r="I21" s="90">
        <f t="shared" si="2"/>
        <v>-23037</v>
      </c>
      <c r="J21" s="90">
        <f t="shared" si="2"/>
        <v>-25403</v>
      </c>
      <c r="K21" s="90">
        <f t="shared" si="2"/>
        <v>-63699</v>
      </c>
    </row>
    <row r="22" spans="1:11" x14ac:dyDescent="0.35">
      <c r="G22" s="86"/>
      <c r="H22" s="86"/>
      <c r="I22" s="86"/>
      <c r="J22" s="86"/>
      <c r="K22" s="86"/>
    </row>
    <row r="23" spans="1:11" x14ac:dyDescent="0.35">
      <c r="B23" s="48" t="s">
        <v>218</v>
      </c>
      <c r="C23" s="49"/>
      <c r="D23" s="49"/>
      <c r="E23" s="49"/>
      <c r="F23" s="49"/>
      <c r="G23" s="86"/>
      <c r="H23" s="86"/>
      <c r="I23" s="86"/>
      <c r="J23" s="86"/>
      <c r="K23" s="86"/>
    </row>
    <row r="24" spans="1:11" x14ac:dyDescent="0.35">
      <c r="B24" s="49" t="str" cm="1">
        <f t="array" ref="B24:B32">'Raw FS'!B19:B27</f>
        <v>Land</v>
      </c>
      <c r="C24" s="49"/>
      <c r="D24" s="49"/>
      <c r="E24" s="49"/>
      <c r="F24" s="49"/>
      <c r="G24" s="87" cm="1">
        <f t="array" ref="G24:K24">'Raw FS'!J19:N19</f>
        <v>7819</v>
      </c>
      <c r="H24" s="87">
        <v>7760</v>
      </c>
      <c r="I24" s="87">
        <v>8045</v>
      </c>
      <c r="J24" s="87">
        <v>7996</v>
      </c>
      <c r="K24" s="87">
        <v>7900</v>
      </c>
    </row>
    <row r="25" spans="1:11" x14ac:dyDescent="0.35">
      <c r="B25" s="49" t="str">
        <v>Building</v>
      </c>
      <c r="C25" s="49"/>
      <c r="D25" s="49"/>
      <c r="E25" s="49"/>
      <c r="F25" s="49"/>
      <c r="G25" s="87" cm="1">
        <f t="array" ref="G25:K25">'Raw FS'!J20:N20</f>
        <v>35537</v>
      </c>
      <c r="H25" s="87">
        <v>36466</v>
      </c>
      <c r="I25" s="87">
        <v>38674</v>
      </c>
      <c r="J25" s="87">
        <v>40583</v>
      </c>
      <c r="K25" s="87">
        <v>44662</v>
      </c>
    </row>
    <row r="26" spans="1:11" x14ac:dyDescent="0.35">
      <c r="B26" s="49" t="str">
        <v>Plant Machinery</v>
      </c>
      <c r="C26" s="49"/>
      <c r="D26" s="49"/>
      <c r="E26" s="49"/>
      <c r="F26" s="49"/>
      <c r="G26" s="87" cm="1">
        <f t="array" ref="G26:K26">'Raw FS'!J21:N21</f>
        <v>138868</v>
      </c>
      <c r="H26" s="87">
        <v>148585</v>
      </c>
      <c r="I26" s="87">
        <v>153672</v>
      </c>
      <c r="J26" s="87">
        <v>151877</v>
      </c>
      <c r="K26" s="87">
        <v>155939</v>
      </c>
    </row>
    <row r="27" spans="1:11" x14ac:dyDescent="0.35">
      <c r="B27" s="49" t="str">
        <v>Equipments</v>
      </c>
      <c r="C27" s="49"/>
      <c r="D27" s="49"/>
      <c r="E27" s="49"/>
      <c r="F27" s="49"/>
      <c r="G27" s="87" cm="1">
        <f t="array" ref="G27:K27">'Raw FS'!J22:N22</f>
        <v>0</v>
      </c>
      <c r="H27" s="87">
        <v>0</v>
      </c>
      <c r="I27" s="87">
        <v>0</v>
      </c>
      <c r="J27" s="87">
        <v>0</v>
      </c>
      <c r="K27" s="87">
        <v>0</v>
      </c>
    </row>
    <row r="28" spans="1:11" x14ac:dyDescent="0.35">
      <c r="B28" s="49" t="str">
        <v>Computers</v>
      </c>
      <c r="C28" s="49"/>
      <c r="D28" s="49"/>
      <c r="E28" s="49"/>
      <c r="F28" s="49"/>
      <c r="G28" s="87" cm="1">
        <f t="array" ref="G28:K28">'Raw FS'!J23:N23</f>
        <v>3172</v>
      </c>
      <c r="H28" s="87">
        <v>3383</v>
      </c>
      <c r="I28" s="87">
        <v>3499</v>
      </c>
      <c r="J28" s="87">
        <v>3667</v>
      </c>
      <c r="K28" s="87">
        <v>3879</v>
      </c>
    </row>
    <row r="29" spans="1:11" x14ac:dyDescent="0.35">
      <c r="B29" s="49" t="str">
        <v>Furniture n fittings</v>
      </c>
      <c r="C29" s="49"/>
      <c r="D29" s="49"/>
      <c r="E29" s="49"/>
      <c r="F29" s="49"/>
      <c r="G29" s="87" cm="1">
        <f t="array" ref="G29:K29">'Raw FS'!J24:N24</f>
        <v>1956</v>
      </c>
      <c r="H29" s="87">
        <v>1984</v>
      </c>
      <c r="I29" s="87">
        <v>2084</v>
      </c>
      <c r="J29" s="87">
        <v>2029</v>
      </c>
      <c r="K29" s="87">
        <v>1970</v>
      </c>
    </row>
    <row r="30" spans="1:11" x14ac:dyDescent="0.35">
      <c r="B30" s="49" t="str">
        <v>Vehicles</v>
      </c>
      <c r="C30" s="49"/>
      <c r="D30" s="49"/>
      <c r="E30" s="49"/>
      <c r="F30" s="49"/>
      <c r="G30" s="87" cm="1">
        <f t="array" ref="G30:K30">'Raw FS'!J25:N25</f>
        <v>845</v>
      </c>
      <c r="H30" s="87">
        <v>725</v>
      </c>
      <c r="I30" s="87">
        <v>788</v>
      </c>
      <c r="J30" s="87">
        <v>956</v>
      </c>
      <c r="K30" s="87">
        <v>1151</v>
      </c>
    </row>
    <row r="31" spans="1:11" x14ac:dyDescent="0.35">
      <c r="B31" s="49" t="str">
        <v>Intangible Assets</v>
      </c>
      <c r="C31" s="49"/>
      <c r="D31" s="49"/>
      <c r="E31" s="49"/>
      <c r="F31" s="49"/>
      <c r="G31" s="87" cm="1">
        <f t="array" ref="G31:K31">'Raw FS'!J26:N26</f>
        <v>114809</v>
      </c>
      <c r="H31" s="87">
        <v>114323</v>
      </c>
      <c r="I31" s="87">
        <v>112538</v>
      </c>
      <c r="J31" s="87">
        <v>116714</v>
      </c>
      <c r="K31" s="87">
        <v>93455</v>
      </c>
    </row>
    <row r="32" spans="1:11" x14ac:dyDescent="0.35">
      <c r="B32" s="49" t="str">
        <v>Other fixed assets</v>
      </c>
      <c r="C32" s="49"/>
      <c r="D32" s="49"/>
      <c r="E32" s="49"/>
      <c r="F32" s="49"/>
      <c r="G32" s="87" cm="1">
        <f t="array" ref="G32:K32">'Raw FS'!J27:N27</f>
        <v>10686</v>
      </c>
      <c r="H32" s="105">
        <v>10870</v>
      </c>
      <c r="I32" s="105">
        <v>11841</v>
      </c>
      <c r="J32" s="105">
        <v>10657</v>
      </c>
      <c r="K32" s="105">
        <v>11044</v>
      </c>
    </row>
    <row r="33" spans="1:11" ht="6" customHeight="1" thickBot="1" x14ac:dyDescent="0.4">
      <c r="G33" s="105"/>
      <c r="H33" s="105"/>
      <c r="I33" s="105"/>
      <c r="J33" s="105"/>
      <c r="K33" s="105"/>
    </row>
    <row r="34" spans="1:11" x14ac:dyDescent="0.35">
      <c r="B34" s="98" t="str">
        <f>'Raw FS'!B28</f>
        <v>Gross Block</v>
      </c>
      <c r="C34" s="99"/>
      <c r="D34" s="99"/>
      <c r="E34" s="99"/>
      <c r="F34" s="99"/>
      <c r="G34" s="104" cm="1">
        <f t="array" ref="G34:K34">'Raw FS'!J28:N28</f>
        <v>313692</v>
      </c>
      <c r="H34" s="104">
        <v>324096</v>
      </c>
      <c r="I34" s="104">
        <v>331141</v>
      </c>
      <c r="J34" s="104">
        <v>334479</v>
      </c>
      <c r="K34" s="104">
        <v>320000</v>
      </c>
    </row>
    <row r="35" spans="1:11" ht="15" thickBot="1" x14ac:dyDescent="0.4">
      <c r="B35" s="12" t="s">
        <v>203</v>
      </c>
      <c r="G35" s="106" cm="1">
        <f t="array" ref="G35:K35">-'Raw FS'!J29:N29</f>
        <v>-174985</v>
      </c>
      <c r="H35" s="106">
        <v>-185241</v>
      </c>
      <c r="I35" s="106">
        <v>-199062</v>
      </c>
      <c r="J35" s="106">
        <v>-213194</v>
      </c>
      <c r="K35" s="106">
        <v>-204303</v>
      </c>
    </row>
    <row r="36" spans="1:11" ht="15" thickBot="1" x14ac:dyDescent="0.4">
      <c r="A36" s="12" t="s">
        <v>57</v>
      </c>
      <c r="B36" s="89" t="s">
        <v>217</v>
      </c>
      <c r="C36" s="96"/>
      <c r="D36" s="96"/>
      <c r="E36" s="96"/>
      <c r="F36" s="96"/>
      <c r="G36" s="90">
        <f>SUM(G34:G35)</f>
        <v>138707</v>
      </c>
      <c r="H36" s="90">
        <f t="shared" ref="H36:K36" si="3">SUM(H34:H35)</f>
        <v>138855</v>
      </c>
      <c r="I36" s="90">
        <f t="shared" si="3"/>
        <v>132079</v>
      </c>
      <c r="J36" s="90">
        <f t="shared" si="3"/>
        <v>121285</v>
      </c>
      <c r="K36" s="90">
        <f t="shared" si="3"/>
        <v>115697</v>
      </c>
    </row>
    <row r="37" spans="1:11" x14ac:dyDescent="0.35">
      <c r="G37" s="86"/>
      <c r="H37" s="86"/>
      <c r="I37" s="86"/>
      <c r="J37" s="86"/>
      <c r="K37" s="86"/>
    </row>
    <row r="38" spans="1:11" x14ac:dyDescent="0.35">
      <c r="A38" s="12" t="s">
        <v>57</v>
      </c>
      <c r="B38" s="12" t="s">
        <v>219</v>
      </c>
      <c r="G38" s="106">
        <f>G36+G21</f>
        <v>106574</v>
      </c>
      <c r="H38" s="106">
        <f t="shared" ref="H38:K38" si="4">H36+H21</f>
        <v>114981</v>
      </c>
      <c r="I38" s="106">
        <f t="shared" si="4"/>
        <v>109042</v>
      </c>
      <c r="J38" s="106">
        <f t="shared" si="4"/>
        <v>95882</v>
      </c>
      <c r="K38" s="106">
        <f t="shared" si="4"/>
        <v>51998</v>
      </c>
    </row>
    <row r="39" spans="1:11" x14ac:dyDescent="0.35">
      <c r="B39" s="12" t="s">
        <v>220</v>
      </c>
      <c r="G39" s="106">
        <f>'Historical FS'!H27+'Historical FS'!H21</f>
        <v>25144.429999999986</v>
      </c>
      <c r="H39" s="106">
        <f>'Historical FS'!I27+'Historical FS'!I21</f>
        <v>18146.090000000015</v>
      </c>
      <c r="I39" s="106">
        <f>'Historical FS'!J27+'Historical FS'!J21</f>
        <v>25810.799999999959</v>
      </c>
      <c r="J39" s="106">
        <f>'Historical FS'!K27+'Historical FS'!K21</f>
        <v>52425</v>
      </c>
      <c r="K39" s="106">
        <f>'Historical FS'!L27+'Historical FS'!L21</f>
        <v>49921</v>
      </c>
    </row>
    <row r="40" spans="1:11" ht="15" thickBot="1" x14ac:dyDescent="0.4"/>
    <row r="41" spans="1:11" ht="15" thickBot="1" x14ac:dyDescent="0.4">
      <c r="A41" s="12" t="s">
        <v>57</v>
      </c>
      <c r="B41" s="89" t="s">
        <v>221</v>
      </c>
      <c r="C41" s="89"/>
      <c r="D41" s="89"/>
      <c r="E41" s="89"/>
      <c r="F41" s="89"/>
      <c r="G41" s="101">
        <f>G39/G38</f>
        <v>0.23593399891155428</v>
      </c>
      <c r="H41" s="101">
        <f t="shared" ref="H41:K41" si="5">H39/H38</f>
        <v>0.15781816126142592</v>
      </c>
      <c r="I41" s="101">
        <f t="shared" si="5"/>
        <v>0.23670512279672015</v>
      </c>
      <c r="J41" s="101">
        <f t="shared" si="5"/>
        <v>0.54676581631588828</v>
      </c>
      <c r="K41" s="101">
        <f t="shared" si="5"/>
        <v>0.96005615600600025</v>
      </c>
    </row>
    <row r="43" spans="1:11" x14ac:dyDescent="0.35">
      <c r="A43" s="12" t="s">
        <v>57</v>
      </c>
      <c r="B43" s="84" t="s">
        <v>222</v>
      </c>
      <c r="C43" s="44"/>
      <c r="D43" s="44"/>
      <c r="E43" s="44"/>
      <c r="F43" s="44"/>
      <c r="G43" s="85">
        <f>G6</f>
        <v>44256</v>
      </c>
      <c r="H43" s="85">
        <f t="shared" ref="H43:K43" si="6">H6</f>
        <v>44621</v>
      </c>
      <c r="I43" s="85">
        <f t="shared" si="6"/>
        <v>44986</v>
      </c>
      <c r="J43" s="85">
        <f t="shared" si="6"/>
        <v>45352</v>
      </c>
      <c r="K43" s="85">
        <f t="shared" si="6"/>
        <v>45717</v>
      </c>
    </row>
    <row r="45" spans="1:11" x14ac:dyDescent="0.35">
      <c r="B45" s="93" t="s">
        <v>223</v>
      </c>
      <c r="C45" s="93"/>
      <c r="D45" s="93"/>
      <c r="E45" s="93"/>
      <c r="F45" s="93"/>
      <c r="G45" s="110">
        <f>-SUM('Raw FS'!J56:J57)</f>
        <v>19854</v>
      </c>
      <c r="H45" s="110">
        <f>-SUM('Raw FS'!K56:K57)</f>
        <v>14938</v>
      </c>
      <c r="I45" s="110">
        <f>-SUM('Raw FS'!L56:L57)</f>
        <v>18945</v>
      </c>
      <c r="J45" s="110">
        <f>-SUM('Raw FS'!M56:M57)</f>
        <v>31183</v>
      </c>
      <c r="K45" s="110">
        <f>-SUM('Raw FS'!N56:N57)</f>
        <v>37068</v>
      </c>
    </row>
    <row r="46" spans="1:11" x14ac:dyDescent="0.35">
      <c r="B46" s="93" t="s">
        <v>224</v>
      </c>
      <c r="C46" s="93"/>
      <c r="D46" s="93"/>
      <c r="E46" s="93"/>
      <c r="F46" s="93"/>
      <c r="G46" s="110"/>
      <c r="H46" s="110">
        <f>H21-G21</f>
        <v>8259</v>
      </c>
      <c r="I46" s="110">
        <f t="shared" ref="I46:K46" si="7">I21-H21</f>
        <v>837</v>
      </c>
      <c r="J46" s="110">
        <f t="shared" si="7"/>
        <v>-2366</v>
      </c>
      <c r="K46" s="110">
        <f t="shared" si="7"/>
        <v>-38296</v>
      </c>
    </row>
    <row r="47" spans="1:11" x14ac:dyDescent="0.35">
      <c r="G47" s="86"/>
      <c r="H47" s="86"/>
      <c r="I47" s="86"/>
      <c r="J47" s="86"/>
      <c r="K47" s="86"/>
    </row>
    <row r="48" spans="1:11" x14ac:dyDescent="0.35">
      <c r="B48" s="93" t="s">
        <v>220</v>
      </c>
      <c r="C48" s="94"/>
      <c r="D48" s="94"/>
      <c r="E48" s="94"/>
      <c r="F48" s="94"/>
      <c r="G48" s="110">
        <f>G39</f>
        <v>25144.429999999986</v>
      </c>
      <c r="H48" s="110">
        <f t="shared" ref="H48:K48" si="8">H39</f>
        <v>18146.090000000015</v>
      </c>
      <c r="I48" s="110">
        <f t="shared" si="8"/>
        <v>25810.799999999959</v>
      </c>
      <c r="J48" s="110">
        <f t="shared" si="8"/>
        <v>52425</v>
      </c>
      <c r="K48" s="110">
        <f t="shared" si="8"/>
        <v>49921</v>
      </c>
    </row>
    <row r="49" spans="1:11" x14ac:dyDescent="0.35">
      <c r="B49" s="93" t="s">
        <v>225</v>
      </c>
      <c r="C49" s="94"/>
      <c r="D49" s="94"/>
      <c r="E49" s="94"/>
      <c r="F49" s="94"/>
      <c r="G49" s="111">
        <v>0.25</v>
      </c>
      <c r="H49" s="111">
        <v>0.25</v>
      </c>
      <c r="I49" s="111">
        <v>0.25</v>
      </c>
      <c r="J49" s="111">
        <v>0.25</v>
      </c>
      <c r="K49" s="111">
        <v>0.25</v>
      </c>
    </row>
    <row r="50" spans="1:11" x14ac:dyDescent="0.35">
      <c r="B50" s="93" t="s">
        <v>227</v>
      </c>
      <c r="C50" s="94"/>
      <c r="D50" s="94"/>
      <c r="E50" s="94"/>
      <c r="F50" s="94"/>
      <c r="G50" s="112">
        <f>G48*(1-G49)</f>
        <v>18858.322499999987</v>
      </c>
      <c r="H50" s="112">
        <f t="shared" ref="H50:K50" si="9">H48*(1-H49)</f>
        <v>13609.567500000012</v>
      </c>
      <c r="I50" s="112">
        <f t="shared" si="9"/>
        <v>19358.099999999969</v>
      </c>
      <c r="J50" s="112">
        <f t="shared" si="9"/>
        <v>39318.75</v>
      </c>
      <c r="K50" s="112">
        <f t="shared" si="9"/>
        <v>37440.75</v>
      </c>
    </row>
    <row r="51" spans="1:11" ht="15" customHeight="1" x14ac:dyDescent="0.35"/>
    <row r="52" spans="1:11" x14ac:dyDescent="0.35">
      <c r="B52" s="93" t="s">
        <v>226</v>
      </c>
      <c r="C52" s="94"/>
      <c r="D52" s="94"/>
      <c r="E52" s="94"/>
      <c r="F52" s="94"/>
      <c r="G52" s="94"/>
      <c r="H52" s="110">
        <f>SUM(H45:H46)</f>
        <v>23197</v>
      </c>
      <c r="I52" s="110">
        <f t="shared" ref="I52:K52" si="10">SUM(I45:I46)</f>
        <v>19782</v>
      </c>
      <c r="J52" s="110">
        <f t="shared" si="10"/>
        <v>28817</v>
      </c>
      <c r="K52" s="110">
        <f t="shared" si="10"/>
        <v>-1228</v>
      </c>
    </row>
    <row r="53" spans="1:11" ht="6" customHeight="1" thickBot="1" x14ac:dyDescent="0.4">
      <c r="B53" s="12"/>
      <c r="H53" s="106"/>
      <c r="I53" s="106"/>
      <c r="J53" s="106"/>
      <c r="K53" s="106"/>
    </row>
    <row r="54" spans="1:11" ht="15" thickBot="1" x14ac:dyDescent="0.4">
      <c r="B54" s="89" t="s">
        <v>228</v>
      </c>
      <c r="C54" s="96"/>
      <c r="D54" s="96"/>
      <c r="E54" s="96"/>
      <c r="F54" s="96"/>
      <c r="G54" s="96"/>
      <c r="H54" s="101">
        <f>H52/H50</f>
        <v>1.7044626877378712</v>
      </c>
      <c r="I54" s="101">
        <f t="shared" ref="I54:K54" si="11">I52/I50</f>
        <v>1.0218978102189797</v>
      </c>
      <c r="J54" s="101">
        <f t="shared" si="11"/>
        <v>0.73290732792878721</v>
      </c>
      <c r="K54" s="101">
        <f t="shared" si="11"/>
        <v>-3.2798488278146139E-2</v>
      </c>
    </row>
    <row r="55" spans="1:11" x14ac:dyDescent="0.35">
      <c r="B55" s="12"/>
      <c r="H55" s="103"/>
      <c r="I55" s="103"/>
      <c r="J55" s="103"/>
      <c r="K55" s="103"/>
    </row>
    <row r="56" spans="1:11" x14ac:dyDescent="0.35">
      <c r="J56" s="78" t="s">
        <v>229</v>
      </c>
      <c r="K56" s="79">
        <f>AVERAGE(H54:K54)</f>
        <v>0.85661733440187304</v>
      </c>
    </row>
    <row r="57" spans="1:11" x14ac:dyDescent="0.35">
      <c r="J57" s="78" t="s">
        <v>230</v>
      </c>
      <c r="K57" s="79">
        <f>MEDIAN(H54:K54)</f>
        <v>0.87740256907388348</v>
      </c>
    </row>
    <row r="59" spans="1:11" x14ac:dyDescent="0.35">
      <c r="A59" s="12" t="s">
        <v>57</v>
      </c>
      <c r="B59" s="84" t="s">
        <v>231</v>
      </c>
      <c r="C59" s="44"/>
      <c r="D59" s="44"/>
      <c r="E59" s="44"/>
      <c r="F59" s="44"/>
      <c r="G59" s="85">
        <f>G43</f>
        <v>44256</v>
      </c>
      <c r="H59" s="85">
        <f t="shared" ref="H59:K59" si="12">H43</f>
        <v>44621</v>
      </c>
      <c r="I59" s="85">
        <f t="shared" si="12"/>
        <v>44986</v>
      </c>
      <c r="J59" s="85">
        <f t="shared" si="12"/>
        <v>45352</v>
      </c>
      <c r="K59" s="85">
        <f t="shared" si="12"/>
        <v>45717</v>
      </c>
    </row>
    <row r="61" spans="1:11" x14ac:dyDescent="0.35">
      <c r="B61" s="94" t="s">
        <v>228</v>
      </c>
      <c r="C61" s="94"/>
      <c r="D61" s="94"/>
      <c r="E61" s="94"/>
      <c r="F61" s="94"/>
      <c r="G61" s="94"/>
      <c r="H61" s="107">
        <f>H54</f>
        <v>1.7044626877378712</v>
      </c>
      <c r="I61" s="107">
        <f t="shared" ref="I61:K61" si="13">I54</f>
        <v>1.0218978102189797</v>
      </c>
      <c r="J61" s="107">
        <f t="shared" si="13"/>
        <v>0.73290732792878721</v>
      </c>
      <c r="K61" s="107">
        <f t="shared" si="13"/>
        <v>-3.2798488278146139E-2</v>
      </c>
    </row>
    <row r="62" spans="1:11" x14ac:dyDescent="0.35">
      <c r="B62" s="94" t="s">
        <v>221</v>
      </c>
      <c r="C62" s="94"/>
      <c r="D62" s="94"/>
      <c r="E62" s="94"/>
      <c r="F62" s="94"/>
      <c r="G62" s="94"/>
      <c r="H62" s="107">
        <f>H41</f>
        <v>0.15781816126142592</v>
      </c>
      <c r="I62" s="107">
        <f t="shared" ref="I62:K62" si="14">I41</f>
        <v>0.23670512279672015</v>
      </c>
      <c r="J62" s="107">
        <f t="shared" si="14"/>
        <v>0.54676581631588828</v>
      </c>
      <c r="K62" s="107">
        <f t="shared" si="14"/>
        <v>0.96005615600600025</v>
      </c>
    </row>
    <row r="63" spans="1:11" ht="5" customHeight="1" thickBot="1" x14ac:dyDescent="0.4"/>
    <row r="64" spans="1:11" ht="15" thickBot="1" x14ac:dyDescent="0.4">
      <c r="B64" s="89" t="s">
        <v>232</v>
      </c>
      <c r="C64" s="89"/>
      <c r="D64" s="89"/>
      <c r="E64" s="89"/>
      <c r="F64" s="89"/>
      <c r="G64" s="89"/>
      <c r="H64" s="101">
        <f>H61*H62</f>
        <v>0.26899516731749884</v>
      </c>
      <c r="I64" s="101">
        <f t="shared" ref="I64:K64" si="15">I61*I62</f>
        <v>0.24188844665358303</v>
      </c>
      <c r="J64" s="101">
        <f t="shared" si="15"/>
        <v>0.40072867343887975</v>
      </c>
      <c r="K64" s="101">
        <f t="shared" si="15"/>
        <v>-3.1488390579124836E-2</v>
      </c>
    </row>
    <row r="66" spans="10:11" x14ac:dyDescent="0.35">
      <c r="J66" s="108" t="s">
        <v>229</v>
      </c>
      <c r="K66" s="109">
        <f>AVERAGE(H64:K64)</f>
        <v>0.22003097420770917</v>
      </c>
    </row>
    <row r="67" spans="10:11" x14ac:dyDescent="0.35">
      <c r="J67" s="108" t="s">
        <v>230</v>
      </c>
      <c r="K67" s="109">
        <f>MEDIAN(H64:K64)</f>
        <v>0.25544180698554092</v>
      </c>
    </row>
  </sheetData>
  <mergeCells count="1">
    <mergeCell ref="L1:M4"/>
  </mergeCells>
  <pageMargins left="0.7" right="0.7" top="0.75" bottom="0.75" header="0.3" footer="0.3"/>
  <pageSetup paperSize="9" scale="74" orientation="portrait" r:id="rId1"/>
  <ignoredErrors>
    <ignoredError sqref="G45:K45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D0ED9-A8BB-4EFD-BC07-D912F577E846}">
  <sheetPr>
    <pageSetUpPr fitToPage="1"/>
  </sheetPr>
  <dimension ref="B1:M52"/>
  <sheetViews>
    <sheetView showGridLines="0" zoomScale="64" workbookViewId="0">
      <selection activeCell="L1" sqref="L1:M4"/>
    </sheetView>
  </sheetViews>
  <sheetFormatPr defaultRowHeight="14.5" x14ac:dyDescent="0.35"/>
  <cols>
    <col min="1" max="1" width="1.81640625" customWidth="1"/>
    <col min="3" max="3" width="16.90625" customWidth="1"/>
    <col min="4" max="4" width="21.453125" customWidth="1"/>
    <col min="6" max="6" width="9.08984375" customWidth="1"/>
    <col min="7" max="7" width="10.81640625" customWidth="1"/>
    <col min="8" max="8" width="13.453125" bestFit="1" customWidth="1"/>
    <col min="9" max="10" width="14.453125" bestFit="1" customWidth="1"/>
    <col min="11" max="11" width="15.453125" bestFit="1" customWidth="1"/>
    <col min="12" max="12" width="10.81640625" customWidth="1"/>
    <col min="13" max="13" width="14.6328125" customWidth="1"/>
  </cols>
  <sheetData>
    <row r="1" spans="2:13" x14ac:dyDescent="0.35">
      <c r="B1" s="44"/>
      <c r="C1" s="44"/>
      <c r="D1" s="44"/>
      <c r="E1" s="44"/>
      <c r="F1" s="44"/>
      <c r="G1" s="44"/>
      <c r="H1" s="44"/>
      <c r="I1" s="44"/>
      <c r="J1" s="44"/>
      <c r="K1" s="44"/>
      <c r="L1" s="139" t="s">
        <v>1</v>
      </c>
      <c r="M1" s="138"/>
    </row>
    <row r="2" spans="2:13" x14ac:dyDescent="0.35">
      <c r="B2" s="44"/>
      <c r="C2" s="44"/>
      <c r="D2" s="44"/>
      <c r="E2" s="44"/>
      <c r="F2" s="44"/>
      <c r="G2" s="44"/>
      <c r="H2" s="44"/>
      <c r="I2" s="44"/>
      <c r="J2" s="44"/>
      <c r="K2" s="44"/>
      <c r="L2" s="138"/>
      <c r="M2" s="138"/>
    </row>
    <row r="3" spans="2:13" x14ac:dyDescent="0.35">
      <c r="B3" s="44"/>
      <c r="C3" s="44"/>
      <c r="D3" s="44"/>
      <c r="E3" s="44"/>
      <c r="F3" s="44"/>
      <c r="G3" s="44"/>
      <c r="H3" s="44"/>
      <c r="I3" s="44"/>
      <c r="J3" s="44"/>
      <c r="K3" s="44"/>
      <c r="L3" s="138"/>
      <c r="M3" s="138"/>
    </row>
    <row r="4" spans="2:13" x14ac:dyDescent="0.35">
      <c r="B4" s="44"/>
      <c r="C4" s="44"/>
      <c r="D4" s="44"/>
      <c r="E4" s="44"/>
      <c r="F4" s="44"/>
      <c r="G4" s="44"/>
      <c r="H4" s="44"/>
      <c r="I4" s="44"/>
      <c r="J4" s="44"/>
      <c r="K4" s="44"/>
      <c r="L4" s="138"/>
      <c r="M4" s="138"/>
    </row>
    <row r="6" spans="2:13" x14ac:dyDescent="0.35">
      <c r="B6" s="84" t="s">
        <v>233</v>
      </c>
      <c r="C6" s="84"/>
      <c r="D6" s="84"/>
      <c r="E6" s="84"/>
      <c r="F6" s="114">
        <f>'Intrinsic Growth'!K6</f>
        <v>45717</v>
      </c>
      <c r="G6" s="115">
        <f>F6+365</f>
        <v>46082</v>
      </c>
      <c r="H6" s="115">
        <f t="shared" ref="H6:K6" si="0">G6+365</f>
        <v>46447</v>
      </c>
      <c r="I6" s="115">
        <f>H6+366</f>
        <v>46813</v>
      </c>
      <c r="J6" s="115">
        <f t="shared" si="0"/>
        <v>47178</v>
      </c>
      <c r="K6" s="115">
        <f t="shared" si="0"/>
        <v>47543</v>
      </c>
    </row>
    <row r="8" spans="2:13" x14ac:dyDescent="0.35">
      <c r="B8" s="118" t="s">
        <v>220</v>
      </c>
      <c r="C8" s="118"/>
      <c r="D8" s="118"/>
      <c r="E8" s="118"/>
      <c r="F8" s="110">
        <f>'Intrinsic Growth'!K39</f>
        <v>49921</v>
      </c>
      <c r="G8" s="110">
        <f>F8*(1+$D$25)</f>
        <v>50225.518100000001</v>
      </c>
      <c r="H8" s="110">
        <f>G8*(1+$D$25)</f>
        <v>50531.893760409999</v>
      </c>
      <c r="I8" s="110">
        <f>H8*(1+$D$25)</f>
        <v>50840.138312348499</v>
      </c>
      <c r="J8" s="110">
        <f>I8*(1+$D$25)</f>
        <v>51150.263156053828</v>
      </c>
      <c r="K8" s="110">
        <f>J8*(1+$D$25)</f>
        <v>51462.279761305756</v>
      </c>
    </row>
    <row r="9" spans="2:13" x14ac:dyDescent="0.35">
      <c r="B9" s="118"/>
      <c r="C9" s="118"/>
      <c r="D9" s="118"/>
      <c r="E9" s="118"/>
      <c r="F9" s="123"/>
      <c r="G9" s="118"/>
      <c r="H9" s="118"/>
      <c r="I9" s="118"/>
      <c r="J9" s="118"/>
      <c r="K9" s="118"/>
    </row>
    <row r="10" spans="2:13" x14ac:dyDescent="0.35">
      <c r="B10" s="118" t="s">
        <v>148</v>
      </c>
      <c r="C10" s="118"/>
      <c r="D10" s="118"/>
      <c r="E10" s="118"/>
      <c r="F10" s="124">
        <f>25%</f>
        <v>0.25</v>
      </c>
      <c r="G10" s="120">
        <f>25%</f>
        <v>0.25</v>
      </c>
      <c r="H10" s="120">
        <f>25%</f>
        <v>0.25</v>
      </c>
      <c r="I10" s="120">
        <f>25%</f>
        <v>0.25</v>
      </c>
      <c r="J10" s="120">
        <f>25%</f>
        <v>0.25</v>
      </c>
      <c r="K10" s="120">
        <f>25%</f>
        <v>0.25</v>
      </c>
    </row>
    <row r="11" spans="2:13" x14ac:dyDescent="0.35">
      <c r="B11" s="118"/>
      <c r="C11" s="118"/>
      <c r="D11" s="118"/>
      <c r="E11" s="118"/>
      <c r="F11" s="123"/>
      <c r="G11" s="118"/>
      <c r="H11" s="118"/>
      <c r="I11" s="118"/>
      <c r="J11" s="118"/>
      <c r="K11" s="118"/>
    </row>
    <row r="12" spans="2:13" x14ac:dyDescent="0.35">
      <c r="B12" s="118" t="s">
        <v>234</v>
      </c>
      <c r="C12" s="118"/>
      <c r="D12" s="118"/>
      <c r="E12" s="118"/>
      <c r="F12" s="110">
        <f t="shared" ref="F12:K12" si="1">F8*(1-F10)</f>
        <v>37440.75</v>
      </c>
      <c r="G12" s="110">
        <f t="shared" si="1"/>
        <v>37669.138575000004</v>
      </c>
      <c r="H12" s="110">
        <f t="shared" si="1"/>
        <v>37898.920320307501</v>
      </c>
      <c r="I12" s="110">
        <f t="shared" si="1"/>
        <v>38130.103734261371</v>
      </c>
      <c r="J12" s="110">
        <f t="shared" si="1"/>
        <v>38362.697367040368</v>
      </c>
      <c r="K12" s="110">
        <f t="shared" si="1"/>
        <v>38596.709820979318</v>
      </c>
    </row>
    <row r="13" spans="2:13" x14ac:dyDescent="0.35">
      <c r="B13" s="118"/>
      <c r="C13" s="118"/>
      <c r="D13" s="118"/>
      <c r="E13" s="118"/>
      <c r="F13" s="123"/>
      <c r="G13" s="118"/>
      <c r="H13" s="118"/>
      <c r="I13" s="118"/>
      <c r="J13" s="118"/>
      <c r="K13" s="118"/>
    </row>
    <row r="14" spans="2:13" x14ac:dyDescent="0.35">
      <c r="B14" s="118" t="s">
        <v>235</v>
      </c>
      <c r="C14" s="118"/>
      <c r="D14" s="118"/>
      <c r="E14" s="118"/>
      <c r="F14" s="125">
        <f>'Intrinsic Growth'!K57</f>
        <v>0.87740256907388348</v>
      </c>
      <c r="G14" s="121">
        <f>F14+(($K$14-$F$14)/4)</f>
        <v>0.66825192680541257</v>
      </c>
      <c r="H14" s="121">
        <f t="shared" ref="H14:J14" si="2">G14+(($K$14-$F$14)/4)</f>
        <v>0.45910128453694171</v>
      </c>
      <c r="I14" s="121">
        <f t="shared" si="2"/>
        <v>0.24995064226847086</v>
      </c>
      <c r="J14" s="121">
        <f t="shared" si="2"/>
        <v>4.0800000000000003E-2</v>
      </c>
      <c r="K14" s="129">
        <v>4.0800000000000003E-2</v>
      </c>
    </row>
    <row r="15" spans="2:13" x14ac:dyDescent="0.35">
      <c r="B15" s="118"/>
      <c r="C15" s="118"/>
      <c r="D15" s="118"/>
      <c r="E15" s="118"/>
      <c r="F15" s="123"/>
      <c r="G15" s="118"/>
      <c r="H15" s="118"/>
      <c r="I15" s="118"/>
      <c r="J15" s="118"/>
      <c r="K15" s="118"/>
    </row>
    <row r="16" spans="2:13" x14ac:dyDescent="0.35">
      <c r="B16" s="118" t="s">
        <v>236</v>
      </c>
      <c r="C16" s="118"/>
      <c r="D16" s="118"/>
      <c r="E16" s="118"/>
      <c r="F16" s="110">
        <f t="shared" ref="F16:K16" si="3">F12*(1-F14)</f>
        <v>4590.1397619469972</v>
      </c>
      <c r="G16" s="110">
        <f t="shared" si="3"/>
        <v>12496.664141156158</v>
      </c>
      <c r="H16" s="110">
        <f t="shared" si="3"/>
        <v>20499.477318691122</v>
      </c>
      <c r="I16" s="110">
        <f t="shared" si="3"/>
        <v>28599.459816119321</v>
      </c>
      <c r="J16" s="110">
        <f t="shared" si="3"/>
        <v>36797.499314465123</v>
      </c>
      <c r="K16" s="110">
        <f t="shared" si="3"/>
        <v>37021.964060283368</v>
      </c>
    </row>
    <row r="17" spans="2:11" x14ac:dyDescent="0.35">
      <c r="B17" s="118"/>
      <c r="C17" s="118"/>
      <c r="D17" s="118"/>
      <c r="E17" s="118"/>
      <c r="F17" s="123"/>
      <c r="G17" s="118"/>
      <c r="H17" s="118"/>
      <c r="I17" s="118"/>
      <c r="J17" s="118"/>
      <c r="K17" s="118"/>
    </row>
    <row r="18" spans="2:11" x14ac:dyDescent="0.35">
      <c r="B18" s="118" t="s">
        <v>237</v>
      </c>
      <c r="C18" s="118"/>
      <c r="D18" s="118"/>
      <c r="E18" s="118"/>
      <c r="F18" s="123"/>
      <c r="G18" s="122">
        <v>0.5</v>
      </c>
      <c r="H18" s="118">
        <f>G18+1</f>
        <v>1.5</v>
      </c>
      <c r="I18" s="118">
        <f t="shared" ref="I18:K18" si="4">H18+1</f>
        <v>2.5</v>
      </c>
      <c r="J18" s="118">
        <f t="shared" si="4"/>
        <v>3.5</v>
      </c>
      <c r="K18" s="118">
        <f t="shared" si="4"/>
        <v>4.5</v>
      </c>
    </row>
    <row r="19" spans="2:11" x14ac:dyDescent="0.35">
      <c r="B19" s="118"/>
      <c r="C19" s="118"/>
      <c r="D19" s="118"/>
      <c r="E19" s="118"/>
      <c r="F19" s="123"/>
      <c r="G19" s="118"/>
      <c r="H19" s="118"/>
      <c r="I19" s="118"/>
      <c r="J19" s="118"/>
      <c r="K19" s="118"/>
    </row>
    <row r="20" spans="2:11" x14ac:dyDescent="0.35">
      <c r="B20" s="118" t="s">
        <v>238</v>
      </c>
      <c r="C20" s="118"/>
      <c r="D20" s="118"/>
      <c r="E20" s="118"/>
      <c r="F20" s="123"/>
      <c r="G20" s="119">
        <f>1/(1+$D$27)^G18</f>
        <v>0.93131911920161736</v>
      </c>
      <c r="H20" s="119">
        <f t="shared" ref="H20:K20" si="5">1/(1+$D$27)^H18</f>
        <v>0.80778457569835971</v>
      </c>
      <c r="I20" s="119">
        <f t="shared" si="5"/>
        <v>0.70063623443654277</v>
      </c>
      <c r="J20" s="119">
        <f t="shared" si="5"/>
        <v>0.60770055256505051</v>
      </c>
      <c r="K20" s="119">
        <f t="shared" si="5"/>
        <v>0.52709229616829878</v>
      </c>
    </row>
    <row r="21" spans="2:11" ht="6" customHeight="1" x14ac:dyDescent="0.35">
      <c r="B21" s="118"/>
      <c r="C21" s="118"/>
      <c r="D21" s="118"/>
      <c r="E21" s="118"/>
      <c r="F21" s="123"/>
      <c r="G21" s="118"/>
      <c r="H21" s="118"/>
      <c r="I21" s="118"/>
      <c r="J21" s="118"/>
      <c r="K21" s="118"/>
    </row>
    <row r="22" spans="2:11" ht="15" thickBot="1" x14ac:dyDescent="0.4">
      <c r="B22" s="130" t="s">
        <v>239</v>
      </c>
      <c r="C22" s="116"/>
      <c r="D22" s="116"/>
      <c r="E22" s="116"/>
      <c r="F22" s="126"/>
      <c r="G22" s="110">
        <f>G16*G20</f>
        <v>11638.382240899989</v>
      </c>
      <c r="H22" s="110">
        <f t="shared" ref="H22:K22" si="6">H16*H20</f>
        <v>16559.161587917057</v>
      </c>
      <c r="I22" s="110">
        <f t="shared" si="6"/>
        <v>20037.81783248506</v>
      </c>
      <c r="J22" s="110">
        <f t="shared" si="6"/>
        <v>22361.860666412522</v>
      </c>
      <c r="K22" s="110">
        <f t="shared" si="6"/>
        <v>19513.992045194995</v>
      </c>
    </row>
    <row r="24" spans="2:11" x14ac:dyDescent="0.35">
      <c r="B24" s="22"/>
      <c r="C24" s="128"/>
      <c r="D24" s="128"/>
    </row>
    <row r="25" spans="2:11" x14ac:dyDescent="0.35">
      <c r="B25" s="78" t="s">
        <v>240</v>
      </c>
      <c r="C25" s="78"/>
      <c r="D25" s="117">
        <v>6.1000000000000004E-3</v>
      </c>
    </row>
    <row r="26" spans="2:11" x14ac:dyDescent="0.35">
      <c r="B26" s="78" t="s">
        <v>241</v>
      </c>
      <c r="C26" s="78"/>
      <c r="D26" s="117">
        <v>6.5000000000000002E-2</v>
      </c>
    </row>
    <row r="27" spans="2:11" x14ac:dyDescent="0.35">
      <c r="B27" s="78" t="s">
        <v>168</v>
      </c>
      <c r="C27" s="78"/>
      <c r="D27" s="79">
        <f>WACC!K47</f>
        <v>0.15293005984480157</v>
      </c>
    </row>
    <row r="28" spans="2:11" x14ac:dyDescent="0.35">
      <c r="B28" s="127"/>
    </row>
    <row r="30" spans="2:11" x14ac:dyDescent="0.35">
      <c r="B30" s="84" t="s">
        <v>242</v>
      </c>
      <c r="C30" s="113"/>
      <c r="D30" s="113"/>
    </row>
    <row r="31" spans="2:11" x14ac:dyDescent="0.35">
      <c r="B31" s="21"/>
    </row>
    <row r="32" spans="2:11" x14ac:dyDescent="0.35">
      <c r="B32" s="21" t="s">
        <v>243</v>
      </c>
      <c r="D32" s="86">
        <f>K16*(1+D25)</f>
        <v>37247.798041051094</v>
      </c>
    </row>
    <row r="33" spans="2:4" x14ac:dyDescent="0.35">
      <c r="B33" s="21" t="s">
        <v>168</v>
      </c>
      <c r="D33" s="63">
        <f>D27</f>
        <v>0.15293005984480157</v>
      </c>
    </row>
    <row r="34" spans="2:4" x14ac:dyDescent="0.35">
      <c r="B34" s="21" t="s">
        <v>244</v>
      </c>
      <c r="D34" s="63">
        <f>D26</f>
        <v>6.5000000000000002E-2</v>
      </c>
    </row>
    <row r="36" spans="2:4" ht="15" thickBot="1" x14ac:dyDescent="0.4">
      <c r="B36" s="131" t="s">
        <v>245</v>
      </c>
      <c r="C36" s="130"/>
      <c r="D36" s="132">
        <f>D32/(D33-D34)</f>
        <v>423607.10440541327</v>
      </c>
    </row>
    <row r="38" spans="2:4" x14ac:dyDescent="0.35">
      <c r="B38" s="84" t="s">
        <v>249</v>
      </c>
      <c r="C38" s="113"/>
      <c r="D38" s="113"/>
    </row>
    <row r="39" spans="2:4" x14ac:dyDescent="0.35">
      <c r="B39" s="21"/>
    </row>
    <row r="40" spans="2:4" x14ac:dyDescent="0.35">
      <c r="B40" s="21" t="s">
        <v>239</v>
      </c>
      <c r="D40" s="86">
        <f>SUM(G22:K22)</f>
        <v>90111.214372909628</v>
      </c>
    </row>
    <row r="41" spans="2:4" x14ac:dyDescent="0.35">
      <c r="B41" s="21" t="s">
        <v>246</v>
      </c>
      <c r="D41" s="86">
        <f>D36*K20</f>
        <v>223280.04133425356</v>
      </c>
    </row>
    <row r="42" spans="2:4" x14ac:dyDescent="0.35">
      <c r="B42" s="21" t="s">
        <v>253</v>
      </c>
      <c r="D42" s="86">
        <f>SUM(D40:D41)</f>
        <v>313391.25570716319</v>
      </c>
    </row>
    <row r="44" spans="2:4" x14ac:dyDescent="0.35">
      <c r="B44" s="21" t="s">
        <v>247</v>
      </c>
      <c r="D44" s="86">
        <f>'Data Sheet'!K69</f>
        <v>40834</v>
      </c>
    </row>
    <row r="45" spans="2:4" x14ac:dyDescent="0.35">
      <c r="B45" s="21" t="s">
        <v>248</v>
      </c>
      <c r="D45" s="86">
        <f>SUM('Raw FS'!N7:N8)</f>
        <v>62499</v>
      </c>
    </row>
    <row r="46" spans="2:4" x14ac:dyDescent="0.35">
      <c r="B46" s="21" t="s">
        <v>250</v>
      </c>
      <c r="D46" s="86">
        <f>D42+D44-D45</f>
        <v>291726.25570716319</v>
      </c>
    </row>
    <row r="47" spans="2:4" x14ac:dyDescent="0.35">
      <c r="B47" s="21" t="s">
        <v>251</v>
      </c>
      <c r="D47" s="133">
        <f>'Data Sheet'!B6</f>
        <v>368.17104005880191</v>
      </c>
    </row>
    <row r="48" spans="2:4" ht="6" customHeight="1" x14ac:dyDescent="0.35"/>
    <row r="49" spans="2:4" ht="15" thickBot="1" x14ac:dyDescent="0.4">
      <c r="B49" s="131" t="s">
        <v>252</v>
      </c>
      <c r="C49" s="130"/>
      <c r="D49" s="132">
        <f>D46/D47</f>
        <v>792.36611239322508</v>
      </c>
    </row>
    <row r="51" spans="2:4" x14ac:dyDescent="0.35">
      <c r="B51" t="s">
        <v>254</v>
      </c>
      <c r="D51" s="86">
        <v>649</v>
      </c>
    </row>
    <row r="52" spans="2:4" x14ac:dyDescent="0.35">
      <c r="B52" t="s">
        <v>255</v>
      </c>
      <c r="D52" s="134">
        <f>D51/D49-1</f>
        <v>-0.18093417947949453</v>
      </c>
    </row>
  </sheetData>
  <mergeCells count="1">
    <mergeCell ref="L1:M4"/>
  </mergeCells>
  <pageMargins left="0.7" right="0.7" top="0.75" bottom="0.75" header="0.3" footer="0.3"/>
  <pageSetup paperSize="9" scale="64" orientation="portrait" r:id="rId1"/>
  <ignoredErrors>
    <ignoredError sqref="I6" formula="1"/>
    <ignoredError sqref="D45" formulaRange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3A72D-A3E1-4187-9FE0-F8EFB9517CC3}">
  <dimension ref="B2:N76"/>
  <sheetViews>
    <sheetView showGridLines="0" zoomScale="83" workbookViewId="0">
      <selection activeCell="Q9" sqref="Q9"/>
    </sheetView>
  </sheetViews>
  <sheetFormatPr defaultRowHeight="14.5" x14ac:dyDescent="0.35"/>
  <cols>
    <col min="1" max="1" width="1.81640625" customWidth="1"/>
    <col min="2" max="2" width="23" bestFit="1" customWidth="1"/>
    <col min="3" max="14" width="11.1796875" bestFit="1" customWidth="1"/>
  </cols>
  <sheetData>
    <row r="2" spans="2:14" x14ac:dyDescent="0.35">
      <c r="B2" s="84" t="s">
        <v>211</v>
      </c>
      <c r="C2" s="85">
        <v>41699</v>
      </c>
      <c r="D2" s="85">
        <v>42064</v>
      </c>
      <c r="E2" s="85">
        <v>42430</v>
      </c>
      <c r="F2" s="85">
        <v>42795</v>
      </c>
      <c r="G2" s="85">
        <v>43160</v>
      </c>
      <c r="H2" s="85">
        <v>43525</v>
      </c>
      <c r="I2" s="85">
        <v>43891</v>
      </c>
      <c r="J2" s="85">
        <v>44256</v>
      </c>
      <c r="K2" s="85">
        <v>44621</v>
      </c>
      <c r="L2" s="85">
        <v>44986</v>
      </c>
      <c r="M2" s="85">
        <v>45352</v>
      </c>
      <c r="N2" s="85">
        <v>45717</v>
      </c>
    </row>
    <row r="3" spans="2:14" s="21" customFormat="1" x14ac:dyDescent="0.35">
      <c r="B3" s="22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2:14" x14ac:dyDescent="0.35">
      <c r="B4" s="12" t="s">
        <v>181</v>
      </c>
      <c r="C4" s="87">
        <v>644</v>
      </c>
      <c r="D4" s="87">
        <v>644</v>
      </c>
      <c r="E4" s="87">
        <v>679</v>
      </c>
      <c r="F4" s="87">
        <v>679</v>
      </c>
      <c r="G4" s="87">
        <v>679</v>
      </c>
      <c r="H4" s="87">
        <v>679</v>
      </c>
      <c r="I4" s="87">
        <v>720</v>
      </c>
      <c r="J4" s="87">
        <v>766</v>
      </c>
      <c r="K4" s="87">
        <v>766</v>
      </c>
      <c r="L4" s="87">
        <v>766</v>
      </c>
      <c r="M4" s="87">
        <v>767</v>
      </c>
      <c r="N4" s="87">
        <v>736</v>
      </c>
    </row>
    <row r="5" spans="2:14" x14ac:dyDescent="0.35">
      <c r="B5" s="12" t="s">
        <v>32</v>
      </c>
      <c r="C5" s="87">
        <v>64960</v>
      </c>
      <c r="D5" s="87">
        <v>55618</v>
      </c>
      <c r="E5" s="87">
        <v>78273</v>
      </c>
      <c r="F5" s="87">
        <v>57383</v>
      </c>
      <c r="G5" s="87">
        <v>94749</v>
      </c>
      <c r="H5" s="87">
        <v>59500</v>
      </c>
      <c r="I5" s="87">
        <v>62359</v>
      </c>
      <c r="J5" s="87">
        <v>54481</v>
      </c>
      <c r="K5" s="87">
        <v>43795</v>
      </c>
      <c r="L5" s="87">
        <v>44556</v>
      </c>
      <c r="M5" s="87">
        <v>84151</v>
      </c>
      <c r="N5" s="87">
        <v>115408</v>
      </c>
    </row>
    <row r="6" spans="2:14" x14ac:dyDescent="0.35">
      <c r="B6" s="12" t="s">
        <v>182</v>
      </c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</row>
    <row r="7" spans="2:14" x14ac:dyDescent="0.35">
      <c r="B7" t="s">
        <v>183</v>
      </c>
      <c r="C7" s="87">
        <v>45259</v>
      </c>
      <c r="D7" s="87">
        <v>56071</v>
      </c>
      <c r="E7" s="87">
        <v>50510</v>
      </c>
      <c r="F7" s="87">
        <v>60629</v>
      </c>
      <c r="G7" s="87">
        <v>61200</v>
      </c>
      <c r="H7" s="87">
        <v>70818</v>
      </c>
      <c r="I7" s="87">
        <v>83316</v>
      </c>
      <c r="J7" s="87">
        <v>93113</v>
      </c>
      <c r="K7" s="87">
        <v>97759</v>
      </c>
      <c r="L7" s="87">
        <v>88696</v>
      </c>
      <c r="M7" s="87">
        <v>62149</v>
      </c>
      <c r="N7" s="87">
        <v>40217</v>
      </c>
    </row>
    <row r="8" spans="2:14" x14ac:dyDescent="0.35">
      <c r="B8" t="s">
        <v>184</v>
      </c>
      <c r="C8" s="87">
        <v>9696</v>
      </c>
      <c r="D8" s="87">
        <v>13140</v>
      </c>
      <c r="E8" s="87">
        <v>11451</v>
      </c>
      <c r="F8" s="87">
        <v>13860</v>
      </c>
      <c r="G8" s="87">
        <v>16795</v>
      </c>
      <c r="H8" s="87">
        <v>20150</v>
      </c>
      <c r="I8" s="87">
        <v>16363</v>
      </c>
      <c r="J8" s="87">
        <v>42792</v>
      </c>
      <c r="K8" s="87">
        <v>41918</v>
      </c>
      <c r="L8" s="87">
        <v>36965</v>
      </c>
      <c r="M8" s="87">
        <v>36352</v>
      </c>
      <c r="N8" s="87">
        <v>22282</v>
      </c>
    </row>
    <row r="9" spans="2:14" x14ac:dyDescent="0.35">
      <c r="B9" t="s">
        <v>185</v>
      </c>
      <c r="C9" s="87">
        <v>0</v>
      </c>
      <c r="D9" s="87">
        <v>0</v>
      </c>
      <c r="E9" s="87">
        <v>0</v>
      </c>
      <c r="F9" s="87">
        <v>0</v>
      </c>
      <c r="G9" s="87">
        <v>0</v>
      </c>
      <c r="H9" s="87">
        <v>173</v>
      </c>
      <c r="I9" s="87">
        <v>5977</v>
      </c>
      <c r="J9" s="87">
        <v>6226</v>
      </c>
      <c r="K9" s="87">
        <v>6772</v>
      </c>
      <c r="L9" s="87">
        <v>8453</v>
      </c>
      <c r="M9" s="87">
        <v>8763</v>
      </c>
      <c r="N9" s="87">
        <v>9041</v>
      </c>
    </row>
    <row r="10" spans="2:14" x14ac:dyDescent="0.35">
      <c r="B10" t="s">
        <v>186</v>
      </c>
      <c r="C10" s="87">
        <v>5688</v>
      </c>
      <c r="D10" s="87">
        <v>4399</v>
      </c>
      <c r="E10" s="87">
        <v>7399</v>
      </c>
      <c r="F10" s="87">
        <v>4115</v>
      </c>
      <c r="G10" s="87">
        <v>10956</v>
      </c>
      <c r="H10" s="87">
        <v>15034</v>
      </c>
      <c r="I10" s="87">
        <v>19132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</row>
    <row r="11" spans="2:14" x14ac:dyDescent="0.35">
      <c r="B11" s="12" t="s">
        <v>187</v>
      </c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</row>
    <row r="12" spans="2:14" x14ac:dyDescent="0.35">
      <c r="B12" t="s">
        <v>188</v>
      </c>
      <c r="C12" s="87">
        <v>421</v>
      </c>
      <c r="D12" s="87">
        <v>433</v>
      </c>
      <c r="E12" s="87">
        <v>433</v>
      </c>
      <c r="F12" s="87">
        <v>453</v>
      </c>
      <c r="G12" s="87">
        <v>525</v>
      </c>
      <c r="H12" s="87">
        <v>523</v>
      </c>
      <c r="I12" s="87">
        <v>814</v>
      </c>
      <c r="J12" s="87">
        <v>1573</v>
      </c>
      <c r="K12" s="87">
        <v>4271</v>
      </c>
      <c r="L12" s="87">
        <v>7278</v>
      </c>
      <c r="M12" s="87">
        <v>8176</v>
      </c>
      <c r="N12" s="87">
        <v>6610</v>
      </c>
    </row>
    <row r="13" spans="2:14" x14ac:dyDescent="0.35">
      <c r="B13" t="s">
        <v>189</v>
      </c>
      <c r="C13" s="87">
        <v>57316</v>
      </c>
      <c r="D13" s="87">
        <v>57407</v>
      </c>
      <c r="E13" s="87">
        <v>61562</v>
      </c>
      <c r="F13" s="87">
        <v>62533</v>
      </c>
      <c r="G13" s="87">
        <v>76940</v>
      </c>
      <c r="H13" s="87">
        <v>71691</v>
      </c>
      <c r="I13" s="87">
        <v>66398</v>
      </c>
      <c r="J13" s="87">
        <v>76040</v>
      </c>
      <c r="K13" s="87">
        <v>69750</v>
      </c>
      <c r="L13" s="87">
        <v>79252</v>
      </c>
      <c r="M13" s="87">
        <v>93978</v>
      </c>
      <c r="N13" s="87">
        <v>97368</v>
      </c>
    </row>
    <row r="14" spans="2:14" x14ac:dyDescent="0.35">
      <c r="B14" t="s">
        <v>190</v>
      </c>
      <c r="C14" s="87">
        <v>3119</v>
      </c>
      <c r="D14" s="87">
        <v>2289</v>
      </c>
      <c r="E14" s="87">
        <v>2165</v>
      </c>
      <c r="F14" s="87">
        <v>1711</v>
      </c>
      <c r="G14" s="87">
        <v>0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</row>
    <row r="15" spans="2:14" ht="15" thickBot="1" x14ac:dyDescent="0.4">
      <c r="B15" t="s">
        <v>191</v>
      </c>
      <c r="C15" s="88">
        <v>31325</v>
      </c>
      <c r="D15" s="88">
        <v>47313</v>
      </c>
      <c r="E15" s="88">
        <v>50712</v>
      </c>
      <c r="F15" s="88">
        <v>71218</v>
      </c>
      <c r="G15" s="88">
        <v>65349</v>
      </c>
      <c r="H15" s="88">
        <v>67135</v>
      </c>
      <c r="I15" s="88">
        <v>65101</v>
      </c>
      <c r="J15" s="88">
        <v>66579</v>
      </c>
      <c r="K15" s="88">
        <v>64030</v>
      </c>
      <c r="L15" s="88">
        <v>68710</v>
      </c>
      <c r="M15" s="88">
        <v>75185</v>
      </c>
      <c r="N15" s="88">
        <v>85311</v>
      </c>
    </row>
    <row r="16" spans="2:14" ht="15" thickBot="1" x14ac:dyDescent="0.4">
      <c r="B16" s="89" t="s">
        <v>80</v>
      </c>
      <c r="C16" s="90">
        <v>218426</v>
      </c>
      <c r="D16" s="90">
        <v>237315</v>
      </c>
      <c r="E16" s="90">
        <v>263184</v>
      </c>
      <c r="F16" s="90">
        <v>272580</v>
      </c>
      <c r="G16" s="90">
        <v>327192</v>
      </c>
      <c r="H16" s="90">
        <v>305703</v>
      </c>
      <c r="I16" s="90">
        <v>320179</v>
      </c>
      <c r="J16" s="90">
        <v>341570</v>
      </c>
      <c r="K16" s="90">
        <v>329061</v>
      </c>
      <c r="L16" s="90">
        <v>334674</v>
      </c>
      <c r="M16" s="90">
        <v>369521</v>
      </c>
      <c r="N16" s="90">
        <v>376973</v>
      </c>
    </row>
    <row r="17" spans="2:14" x14ac:dyDescent="0.35"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</row>
    <row r="18" spans="2:14" x14ac:dyDescent="0.35">
      <c r="B18" s="12" t="s">
        <v>192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</row>
    <row r="19" spans="2:14" x14ac:dyDescent="0.35">
      <c r="B19" t="s">
        <v>193</v>
      </c>
      <c r="C19" s="87">
        <v>2296</v>
      </c>
      <c r="D19" s="87">
        <v>2513</v>
      </c>
      <c r="E19" s="87">
        <v>7185</v>
      </c>
      <c r="F19" s="87">
        <v>6762</v>
      </c>
      <c r="G19" s="87">
        <v>7339</v>
      </c>
      <c r="H19" s="87">
        <v>7286</v>
      </c>
      <c r="I19" s="87">
        <v>7675</v>
      </c>
      <c r="J19" s="87">
        <v>7819</v>
      </c>
      <c r="K19" s="87">
        <v>7760</v>
      </c>
      <c r="L19" s="87">
        <v>8045</v>
      </c>
      <c r="M19" s="87">
        <v>7996</v>
      </c>
      <c r="N19" s="87">
        <v>7900</v>
      </c>
    </row>
    <row r="20" spans="2:14" x14ac:dyDescent="0.35">
      <c r="B20" t="s">
        <v>194</v>
      </c>
      <c r="C20" s="87">
        <v>11010</v>
      </c>
      <c r="D20" s="87">
        <v>13396</v>
      </c>
      <c r="E20" s="87">
        <v>12343</v>
      </c>
      <c r="F20" s="87">
        <v>12164</v>
      </c>
      <c r="G20" s="87">
        <v>16552</v>
      </c>
      <c r="H20" s="87">
        <v>22938</v>
      </c>
      <c r="I20" s="87">
        <v>32665</v>
      </c>
      <c r="J20" s="87">
        <v>35537</v>
      </c>
      <c r="K20" s="87">
        <v>36466</v>
      </c>
      <c r="L20" s="87">
        <v>38674</v>
      </c>
      <c r="M20" s="87">
        <v>40583</v>
      </c>
      <c r="N20" s="87">
        <v>44662</v>
      </c>
    </row>
    <row r="21" spans="2:14" x14ac:dyDescent="0.35">
      <c r="B21" t="s">
        <v>195</v>
      </c>
      <c r="C21" s="87">
        <v>79505</v>
      </c>
      <c r="D21" s="87">
        <v>88943</v>
      </c>
      <c r="E21" s="87">
        <v>80063</v>
      </c>
      <c r="F21" s="87">
        <v>79976</v>
      </c>
      <c r="G21" s="87">
        <v>100226</v>
      </c>
      <c r="H21" s="87">
        <v>109415</v>
      </c>
      <c r="I21" s="87">
        <v>124158</v>
      </c>
      <c r="J21" s="87">
        <v>138868</v>
      </c>
      <c r="K21" s="87">
        <v>148585</v>
      </c>
      <c r="L21" s="87">
        <v>153672</v>
      </c>
      <c r="M21" s="87">
        <v>151877</v>
      </c>
      <c r="N21" s="87">
        <v>155939</v>
      </c>
    </row>
    <row r="22" spans="2:14" x14ac:dyDescent="0.35">
      <c r="B22" t="s">
        <v>196</v>
      </c>
      <c r="C22" s="87">
        <v>0</v>
      </c>
      <c r="D22" s="87">
        <v>482</v>
      </c>
      <c r="E22" s="87">
        <v>498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</row>
    <row r="23" spans="2:14" x14ac:dyDescent="0.35">
      <c r="B23" t="s">
        <v>197</v>
      </c>
      <c r="C23" s="87">
        <v>1126</v>
      </c>
      <c r="D23" s="87">
        <v>1364</v>
      </c>
      <c r="E23" s="87">
        <v>1634</v>
      </c>
      <c r="F23" s="87">
        <v>1767</v>
      </c>
      <c r="G23" s="87">
        <v>1943</v>
      </c>
      <c r="H23" s="87">
        <v>2335</v>
      </c>
      <c r="I23" s="87">
        <v>3054</v>
      </c>
      <c r="J23" s="87">
        <v>3172</v>
      </c>
      <c r="K23" s="87">
        <v>3383</v>
      </c>
      <c r="L23" s="87">
        <v>3499</v>
      </c>
      <c r="M23" s="87">
        <v>3667</v>
      </c>
      <c r="N23" s="87">
        <v>3879</v>
      </c>
    </row>
    <row r="24" spans="2:14" x14ac:dyDescent="0.35">
      <c r="B24" t="s">
        <v>198</v>
      </c>
      <c r="C24" s="87">
        <v>1011</v>
      </c>
      <c r="D24" s="87">
        <v>1149</v>
      </c>
      <c r="E24" s="87">
        <v>1241</v>
      </c>
      <c r="F24" s="87">
        <v>1401</v>
      </c>
      <c r="G24" s="87">
        <v>1430</v>
      </c>
      <c r="H24" s="87">
        <v>1626</v>
      </c>
      <c r="I24" s="87">
        <v>1890</v>
      </c>
      <c r="J24" s="87">
        <v>1956</v>
      </c>
      <c r="K24" s="87">
        <v>1984</v>
      </c>
      <c r="L24" s="87">
        <v>2084</v>
      </c>
      <c r="M24" s="87">
        <v>2029</v>
      </c>
      <c r="N24" s="87">
        <v>1970</v>
      </c>
    </row>
    <row r="25" spans="2:14" x14ac:dyDescent="0.35">
      <c r="B25" t="s">
        <v>199</v>
      </c>
      <c r="C25" s="87">
        <v>270</v>
      </c>
      <c r="D25" s="87">
        <v>280</v>
      </c>
      <c r="E25" s="87">
        <v>280</v>
      </c>
      <c r="F25" s="87">
        <v>291</v>
      </c>
      <c r="G25" s="87">
        <v>353</v>
      </c>
      <c r="H25" s="87">
        <v>387</v>
      </c>
      <c r="I25" s="87">
        <v>601</v>
      </c>
      <c r="J25" s="87">
        <v>845</v>
      </c>
      <c r="K25" s="87">
        <v>725</v>
      </c>
      <c r="L25" s="87">
        <v>788</v>
      </c>
      <c r="M25" s="87">
        <v>956</v>
      </c>
      <c r="N25" s="87">
        <v>1151</v>
      </c>
    </row>
    <row r="26" spans="2:14" x14ac:dyDescent="0.35">
      <c r="B26" t="s">
        <v>200</v>
      </c>
      <c r="C26" s="87">
        <v>8994</v>
      </c>
      <c r="D26" s="87">
        <v>9580</v>
      </c>
      <c r="E26" s="87">
        <v>58951</v>
      </c>
      <c r="F26" s="87">
        <v>54932</v>
      </c>
      <c r="G26" s="87">
        <v>77870</v>
      </c>
      <c r="H26" s="87">
        <v>80480</v>
      </c>
      <c r="I26" s="87">
        <v>91157</v>
      </c>
      <c r="J26" s="87">
        <v>114809</v>
      </c>
      <c r="K26" s="87">
        <v>114323</v>
      </c>
      <c r="L26" s="87">
        <v>112538</v>
      </c>
      <c r="M26" s="87">
        <v>116714</v>
      </c>
      <c r="N26" s="87">
        <v>93455</v>
      </c>
    </row>
    <row r="27" spans="2:14" x14ac:dyDescent="0.35">
      <c r="B27" t="s">
        <v>201</v>
      </c>
      <c r="C27" s="87">
        <v>33694</v>
      </c>
      <c r="D27" s="87">
        <v>45196</v>
      </c>
      <c r="E27" s="87">
        <v>6746</v>
      </c>
      <c r="F27" s="87">
        <v>6219</v>
      </c>
      <c r="G27" s="87">
        <v>7497</v>
      </c>
      <c r="H27" s="87">
        <v>8049</v>
      </c>
      <c r="I27" s="87">
        <v>9380</v>
      </c>
      <c r="J27" s="87">
        <v>10686</v>
      </c>
      <c r="K27" s="87">
        <v>10870</v>
      </c>
      <c r="L27" s="87">
        <v>11841</v>
      </c>
      <c r="M27" s="87">
        <v>10657</v>
      </c>
      <c r="N27" s="87">
        <v>11044</v>
      </c>
    </row>
    <row r="28" spans="2:14" x14ac:dyDescent="0.35">
      <c r="B28" s="12" t="s">
        <v>202</v>
      </c>
      <c r="C28" s="86">
        <v>137907</v>
      </c>
      <c r="D28" s="86">
        <v>162904</v>
      </c>
      <c r="E28" s="86">
        <v>168941</v>
      </c>
      <c r="F28" s="86">
        <v>163512</v>
      </c>
      <c r="G28" s="86">
        <v>213209</v>
      </c>
      <c r="H28" s="86">
        <v>232517</v>
      </c>
      <c r="I28" s="86">
        <v>270579</v>
      </c>
      <c r="J28" s="86">
        <v>313692</v>
      </c>
      <c r="K28" s="86">
        <v>324096</v>
      </c>
      <c r="L28" s="86">
        <v>331141</v>
      </c>
      <c r="M28" s="86">
        <v>334479</v>
      </c>
      <c r="N28" s="86">
        <v>320000</v>
      </c>
    </row>
    <row r="29" spans="2:14" ht="15" thickBot="1" x14ac:dyDescent="0.4">
      <c r="B29" s="12" t="s">
        <v>203</v>
      </c>
      <c r="C29" s="86">
        <v>68815</v>
      </c>
      <c r="D29" s="86">
        <v>74424</v>
      </c>
      <c r="E29" s="86">
        <v>61709</v>
      </c>
      <c r="F29" s="86">
        <v>67568</v>
      </c>
      <c r="G29" s="86">
        <v>91795</v>
      </c>
      <c r="H29" s="86">
        <v>121283</v>
      </c>
      <c r="I29" s="86">
        <v>143471</v>
      </c>
      <c r="J29" s="86">
        <v>174985</v>
      </c>
      <c r="K29" s="86">
        <v>185241</v>
      </c>
      <c r="L29" s="86">
        <v>199062</v>
      </c>
      <c r="M29" s="86">
        <v>213194</v>
      </c>
      <c r="N29" s="86">
        <v>204303</v>
      </c>
    </row>
    <row r="30" spans="2:14" ht="15" thickTop="1" x14ac:dyDescent="0.35">
      <c r="B30" s="91" t="s">
        <v>36</v>
      </c>
      <c r="C30" s="92">
        <f>C28-C29</f>
        <v>69092</v>
      </c>
      <c r="D30" s="92">
        <f t="shared" ref="D30:N30" si="0">D28-D29</f>
        <v>88480</v>
      </c>
      <c r="E30" s="92">
        <f t="shared" si="0"/>
        <v>107232</v>
      </c>
      <c r="F30" s="92">
        <f t="shared" si="0"/>
        <v>95944</v>
      </c>
      <c r="G30" s="92">
        <f t="shared" si="0"/>
        <v>121414</v>
      </c>
      <c r="H30" s="92">
        <f t="shared" si="0"/>
        <v>111234</v>
      </c>
      <c r="I30" s="92">
        <f t="shared" si="0"/>
        <v>127108</v>
      </c>
      <c r="J30" s="92">
        <f t="shared" si="0"/>
        <v>138707</v>
      </c>
      <c r="K30" s="92">
        <f t="shared" si="0"/>
        <v>138855</v>
      </c>
      <c r="L30" s="92">
        <f t="shared" si="0"/>
        <v>132079</v>
      </c>
      <c r="M30" s="92">
        <f t="shared" si="0"/>
        <v>121285</v>
      </c>
      <c r="N30" s="92">
        <f t="shared" si="0"/>
        <v>115697</v>
      </c>
    </row>
    <row r="31" spans="2:14" x14ac:dyDescent="0.35">
      <c r="B31" s="12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</row>
    <row r="32" spans="2:14" x14ac:dyDescent="0.35">
      <c r="B32" s="93" t="s">
        <v>204</v>
      </c>
      <c r="C32" s="87">
        <v>33263</v>
      </c>
      <c r="D32" s="87">
        <v>28640</v>
      </c>
      <c r="E32" s="87">
        <v>25919</v>
      </c>
      <c r="F32" s="87">
        <v>33699</v>
      </c>
      <c r="G32" s="87">
        <v>40034</v>
      </c>
      <c r="H32" s="87">
        <v>31884</v>
      </c>
      <c r="I32" s="87">
        <v>35622</v>
      </c>
      <c r="J32" s="87">
        <v>20964</v>
      </c>
      <c r="K32" s="87">
        <v>10251</v>
      </c>
      <c r="L32" s="87">
        <v>14274</v>
      </c>
      <c r="M32" s="87">
        <v>35698</v>
      </c>
      <c r="N32" s="87">
        <v>65806</v>
      </c>
    </row>
    <row r="33" spans="2:14" x14ac:dyDescent="0.35">
      <c r="B33" s="93" t="s">
        <v>38</v>
      </c>
      <c r="C33" s="87">
        <v>10687</v>
      </c>
      <c r="D33" s="87">
        <v>15337</v>
      </c>
      <c r="E33" s="87">
        <v>23767</v>
      </c>
      <c r="F33" s="87">
        <v>20338</v>
      </c>
      <c r="G33" s="87">
        <v>20813</v>
      </c>
      <c r="H33" s="87">
        <v>15771</v>
      </c>
      <c r="I33" s="87">
        <v>16308</v>
      </c>
      <c r="J33" s="87">
        <v>24620</v>
      </c>
      <c r="K33" s="87">
        <v>29380</v>
      </c>
      <c r="L33" s="87">
        <v>26379</v>
      </c>
      <c r="M33" s="87">
        <v>22971</v>
      </c>
      <c r="N33" s="87">
        <v>35656</v>
      </c>
    </row>
    <row r="34" spans="2:14" x14ac:dyDescent="0.35">
      <c r="B34" s="12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</row>
    <row r="35" spans="2:14" x14ac:dyDescent="0.35">
      <c r="B35" s="12" t="s">
        <v>205</v>
      </c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</row>
    <row r="36" spans="2:14" x14ac:dyDescent="0.35">
      <c r="B36" t="s">
        <v>206</v>
      </c>
      <c r="C36" s="87">
        <v>27271</v>
      </c>
      <c r="D36" s="87">
        <v>29272</v>
      </c>
      <c r="E36" s="87">
        <v>32656</v>
      </c>
      <c r="F36" s="87">
        <v>35085</v>
      </c>
      <c r="G36" s="87">
        <v>42138</v>
      </c>
      <c r="H36" s="87">
        <v>39014</v>
      </c>
      <c r="I36" s="87">
        <v>37457</v>
      </c>
      <c r="J36" s="87">
        <v>36089</v>
      </c>
      <c r="K36" s="87">
        <v>35240</v>
      </c>
      <c r="L36" s="87">
        <v>40755</v>
      </c>
      <c r="M36" s="87">
        <v>47788</v>
      </c>
      <c r="N36" s="87">
        <v>47269</v>
      </c>
    </row>
    <row r="37" spans="2:14" x14ac:dyDescent="0.35">
      <c r="B37" t="s">
        <v>207</v>
      </c>
      <c r="C37" s="87">
        <v>10574</v>
      </c>
      <c r="D37" s="87">
        <v>12579</v>
      </c>
      <c r="E37" s="87">
        <v>13571</v>
      </c>
      <c r="F37" s="87">
        <v>14076</v>
      </c>
      <c r="G37" s="87">
        <v>19893</v>
      </c>
      <c r="H37" s="87">
        <v>18996</v>
      </c>
      <c r="I37" s="87">
        <v>11173</v>
      </c>
      <c r="J37" s="87">
        <v>12679</v>
      </c>
      <c r="K37" s="87">
        <v>12442</v>
      </c>
      <c r="L37" s="87">
        <v>15738</v>
      </c>
      <c r="M37" s="87">
        <v>16952</v>
      </c>
      <c r="N37" s="87">
        <v>13248</v>
      </c>
    </row>
    <row r="38" spans="2:14" x14ac:dyDescent="0.35">
      <c r="B38" t="s">
        <v>208</v>
      </c>
      <c r="C38" s="87">
        <v>29712</v>
      </c>
      <c r="D38" s="87">
        <v>32116</v>
      </c>
      <c r="E38" s="87">
        <v>30460</v>
      </c>
      <c r="F38" s="87">
        <v>36078</v>
      </c>
      <c r="G38" s="87">
        <v>34614</v>
      </c>
      <c r="H38" s="87">
        <v>32649</v>
      </c>
      <c r="I38" s="87">
        <v>33727</v>
      </c>
      <c r="J38" s="87">
        <v>46792</v>
      </c>
      <c r="K38" s="87">
        <v>40669</v>
      </c>
      <c r="L38" s="87">
        <v>37016</v>
      </c>
      <c r="M38" s="87">
        <v>45807</v>
      </c>
      <c r="N38" s="87">
        <v>40834</v>
      </c>
    </row>
    <row r="39" spans="2:14" x14ac:dyDescent="0.35">
      <c r="B39" t="s">
        <v>209</v>
      </c>
      <c r="C39" s="87">
        <v>9953</v>
      </c>
      <c r="D39" s="87">
        <v>6628</v>
      </c>
      <c r="E39" s="87">
        <v>2072</v>
      </c>
      <c r="F39" s="87">
        <v>1816</v>
      </c>
      <c r="G39" s="87">
        <v>4066</v>
      </c>
      <c r="H39" s="87">
        <v>3620</v>
      </c>
      <c r="I39" s="87">
        <v>3353</v>
      </c>
      <c r="J39" s="87">
        <v>4520</v>
      </c>
      <c r="K39" s="87">
        <v>4583</v>
      </c>
      <c r="L39" s="87">
        <v>-4029</v>
      </c>
      <c r="M39" s="87">
        <v>-1743</v>
      </c>
      <c r="N39" s="87">
        <v>7552</v>
      </c>
    </row>
    <row r="40" spans="2:14" ht="15" thickBot="1" x14ac:dyDescent="0.4">
      <c r="B40" t="s">
        <v>210</v>
      </c>
      <c r="C40" s="88">
        <v>27876</v>
      </c>
      <c r="D40" s="88">
        <v>24263</v>
      </c>
      <c r="E40" s="88">
        <v>27508</v>
      </c>
      <c r="F40" s="88">
        <v>35544</v>
      </c>
      <c r="G40" s="88">
        <v>44221</v>
      </c>
      <c r="H40" s="88">
        <v>52535</v>
      </c>
      <c r="I40" s="88">
        <v>55432</v>
      </c>
      <c r="J40" s="88">
        <v>57198</v>
      </c>
      <c r="K40" s="88">
        <v>57641</v>
      </c>
      <c r="L40" s="88">
        <v>72461</v>
      </c>
      <c r="M40" s="88">
        <v>80763</v>
      </c>
      <c r="N40" s="88">
        <v>50911</v>
      </c>
    </row>
    <row r="41" spans="2:14" ht="15" thickBot="1" x14ac:dyDescent="0.4">
      <c r="B41" s="89" t="s">
        <v>84</v>
      </c>
      <c r="C41" s="90">
        <v>218426</v>
      </c>
      <c r="D41" s="90">
        <v>237315</v>
      </c>
      <c r="E41" s="90">
        <v>263184</v>
      </c>
      <c r="F41" s="90">
        <v>272580</v>
      </c>
      <c r="G41" s="90">
        <v>327192</v>
      </c>
      <c r="H41" s="90">
        <v>305703</v>
      </c>
      <c r="I41" s="90">
        <v>320179</v>
      </c>
      <c r="J41" s="90">
        <v>341570</v>
      </c>
      <c r="K41" s="90">
        <v>329061</v>
      </c>
      <c r="L41" s="90">
        <v>334674</v>
      </c>
      <c r="M41" s="90">
        <v>369521</v>
      </c>
      <c r="N41" s="90">
        <v>376973</v>
      </c>
    </row>
    <row r="45" spans="2:14" ht="15" thickBot="1" x14ac:dyDescent="0.4">
      <c r="B45" s="84" t="s">
        <v>211</v>
      </c>
      <c r="C45" s="102">
        <v>41699</v>
      </c>
      <c r="D45" s="102">
        <v>42064</v>
      </c>
      <c r="E45" s="102">
        <v>42430</v>
      </c>
      <c r="F45" s="102">
        <v>42795</v>
      </c>
      <c r="G45" s="102">
        <v>43160</v>
      </c>
      <c r="H45" s="102">
        <v>43525</v>
      </c>
      <c r="I45" s="102">
        <v>43891</v>
      </c>
      <c r="J45" s="102">
        <v>44256</v>
      </c>
      <c r="K45" s="102">
        <v>44621</v>
      </c>
      <c r="L45" s="102">
        <v>44986</v>
      </c>
      <c r="M45" s="102">
        <v>45352</v>
      </c>
      <c r="N45" s="102">
        <v>45717</v>
      </c>
    </row>
    <row r="46" spans="2:14" ht="15" thickBot="1" x14ac:dyDescent="0.4">
      <c r="B46" s="30" t="s">
        <v>114</v>
      </c>
      <c r="C46" s="31">
        <v>36151</v>
      </c>
      <c r="D46" s="31">
        <v>35531</v>
      </c>
      <c r="E46" s="31">
        <v>37900</v>
      </c>
      <c r="F46" s="31">
        <v>30199</v>
      </c>
      <c r="G46" s="31">
        <v>23857</v>
      </c>
      <c r="H46" s="31">
        <v>18891</v>
      </c>
      <c r="I46" s="31">
        <v>26633</v>
      </c>
      <c r="J46" s="31">
        <v>29001</v>
      </c>
      <c r="K46" s="31">
        <v>14283</v>
      </c>
      <c r="L46" s="31">
        <v>35388</v>
      </c>
      <c r="M46" s="31">
        <v>67915</v>
      </c>
      <c r="N46" s="31">
        <v>63102</v>
      </c>
    </row>
    <row r="47" spans="2:14" x14ac:dyDescent="0.35">
      <c r="B47" s="32" t="s">
        <v>87</v>
      </c>
      <c r="C47" s="31">
        <v>36303</v>
      </c>
      <c r="D47" s="31">
        <v>43397</v>
      </c>
      <c r="E47" s="31">
        <v>38626</v>
      </c>
      <c r="F47" s="31">
        <v>28840</v>
      </c>
      <c r="G47" s="31">
        <v>33312</v>
      </c>
      <c r="H47" s="31">
        <v>28771</v>
      </c>
      <c r="I47" s="31">
        <v>23352</v>
      </c>
      <c r="J47" s="31">
        <v>31198</v>
      </c>
      <c r="K47" s="31">
        <v>26943</v>
      </c>
      <c r="L47" s="31">
        <v>41694</v>
      </c>
      <c r="M47" s="31">
        <v>65106</v>
      </c>
      <c r="N47" s="31">
        <v>58937</v>
      </c>
    </row>
    <row r="48" spans="2:14" x14ac:dyDescent="0.35">
      <c r="B48" s="33" t="s">
        <v>40</v>
      </c>
      <c r="C48" s="34">
        <v>445</v>
      </c>
      <c r="D48" s="35">
        <v>-3179</v>
      </c>
      <c r="E48" s="35">
        <v>-2223</v>
      </c>
      <c r="F48" s="35">
        <v>-4152</v>
      </c>
      <c r="G48" s="35">
        <v>-10688</v>
      </c>
      <c r="H48" s="35">
        <v>-9109</v>
      </c>
      <c r="I48" s="35">
        <v>9950</v>
      </c>
      <c r="J48" s="35">
        <v>-5505</v>
      </c>
      <c r="K48" s="34">
        <v>185</v>
      </c>
      <c r="L48" s="35">
        <v>-2213</v>
      </c>
      <c r="M48" s="35">
        <v>-1876</v>
      </c>
      <c r="N48" s="35">
        <v>3573</v>
      </c>
    </row>
    <row r="49" spans="2:14" x14ac:dyDescent="0.35">
      <c r="B49" s="33" t="s">
        <v>41</v>
      </c>
      <c r="C49" s="35">
        <v>-2853</v>
      </c>
      <c r="D49" s="35">
        <v>-3692</v>
      </c>
      <c r="E49" s="35">
        <v>-5743</v>
      </c>
      <c r="F49" s="35">
        <v>-6621</v>
      </c>
      <c r="G49" s="35">
        <v>-3560</v>
      </c>
      <c r="H49" s="35">
        <v>2069</v>
      </c>
      <c r="I49" s="35">
        <v>2326</v>
      </c>
      <c r="J49" s="35">
        <v>3814</v>
      </c>
      <c r="K49" s="34">
        <v>472</v>
      </c>
      <c r="L49" s="35">
        <v>-5665</v>
      </c>
      <c r="M49" s="35">
        <v>-7265</v>
      </c>
      <c r="N49" s="35">
        <v>2127</v>
      </c>
    </row>
    <row r="50" spans="2:14" x14ac:dyDescent="0.35">
      <c r="B50" s="33" t="s">
        <v>88</v>
      </c>
      <c r="C50" s="35">
        <v>4694</v>
      </c>
      <c r="D50" s="35">
        <v>3598</v>
      </c>
      <c r="E50" s="35">
        <v>3947</v>
      </c>
      <c r="F50" s="35">
        <v>9301</v>
      </c>
      <c r="G50" s="35">
        <v>7320</v>
      </c>
      <c r="H50" s="35">
        <v>-4692</v>
      </c>
      <c r="I50" s="35">
        <v>-8085</v>
      </c>
      <c r="J50" s="35">
        <v>5748</v>
      </c>
      <c r="K50" s="35">
        <v>-7012</v>
      </c>
      <c r="L50" s="35">
        <v>6945</v>
      </c>
      <c r="M50" s="35">
        <v>13706</v>
      </c>
      <c r="N50" s="35">
        <v>1303</v>
      </c>
    </row>
    <row r="51" spans="2:14" x14ac:dyDescent="0.35">
      <c r="B51" s="33" t="s">
        <v>89</v>
      </c>
      <c r="C51" s="34">
        <v>0</v>
      </c>
      <c r="D51" s="34">
        <v>0</v>
      </c>
      <c r="E51" s="34">
        <v>-520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</row>
    <row r="52" spans="2:14" ht="15" thickBot="1" x14ac:dyDescent="0.4">
      <c r="B52" s="33" t="s">
        <v>90</v>
      </c>
      <c r="C52" s="35">
        <v>1870</v>
      </c>
      <c r="D52" s="34">
        <v>-398</v>
      </c>
      <c r="E52" s="35">
        <v>5852</v>
      </c>
      <c r="F52" s="35">
        <v>4727</v>
      </c>
      <c r="G52" s="34">
        <v>494</v>
      </c>
      <c r="H52" s="35">
        <v>4512</v>
      </c>
      <c r="I52" s="34">
        <v>875</v>
      </c>
      <c r="J52" s="35">
        <v>-4150</v>
      </c>
      <c r="K52" s="35">
        <v>-4396</v>
      </c>
      <c r="L52" s="35">
        <v>-2194</v>
      </c>
      <c r="M52" s="35">
        <v>2760</v>
      </c>
      <c r="N52" s="35">
        <v>1153</v>
      </c>
    </row>
    <row r="53" spans="2:14" x14ac:dyDescent="0.35">
      <c r="B53" s="32" t="s">
        <v>91</v>
      </c>
      <c r="C53" s="31">
        <v>4157</v>
      </c>
      <c r="D53" s="31">
        <v>-3672</v>
      </c>
      <c r="E53" s="31">
        <v>1313</v>
      </c>
      <c r="F53" s="31">
        <v>3254</v>
      </c>
      <c r="G53" s="31">
        <v>-6434</v>
      </c>
      <c r="H53" s="31">
        <v>-7221</v>
      </c>
      <c r="I53" s="31">
        <v>5065</v>
      </c>
      <c r="J53" s="36">
        <v>-93</v>
      </c>
      <c r="K53" s="31">
        <v>-10750</v>
      </c>
      <c r="L53" s="31">
        <v>-3127</v>
      </c>
      <c r="M53" s="31">
        <v>7325</v>
      </c>
      <c r="N53" s="31">
        <v>8156</v>
      </c>
    </row>
    <row r="54" spans="2:14" ht="15" thickBot="1" x14ac:dyDescent="0.4">
      <c r="B54" s="33" t="s">
        <v>92</v>
      </c>
      <c r="C54" s="35">
        <v>-4308</v>
      </c>
      <c r="D54" s="35">
        <v>-4194</v>
      </c>
      <c r="E54" s="35">
        <v>-2040</v>
      </c>
      <c r="F54" s="35">
        <v>-1895</v>
      </c>
      <c r="G54" s="35">
        <v>-3021</v>
      </c>
      <c r="H54" s="35">
        <v>-2659</v>
      </c>
      <c r="I54" s="35">
        <v>-1785</v>
      </c>
      <c r="J54" s="35">
        <v>-2105</v>
      </c>
      <c r="K54" s="35">
        <v>-1910</v>
      </c>
      <c r="L54" s="35">
        <v>-3179</v>
      </c>
      <c r="M54" s="35">
        <v>-4516</v>
      </c>
      <c r="N54" s="35">
        <v>-3991</v>
      </c>
    </row>
    <row r="55" spans="2:14" x14ac:dyDescent="0.35">
      <c r="B55" s="37" t="s">
        <v>115</v>
      </c>
      <c r="C55" s="38">
        <v>-27991</v>
      </c>
      <c r="D55" s="38">
        <v>-36232</v>
      </c>
      <c r="E55" s="38">
        <v>-36694</v>
      </c>
      <c r="F55" s="38">
        <v>-39571</v>
      </c>
      <c r="G55" s="38">
        <v>-25139</v>
      </c>
      <c r="H55" s="38">
        <v>-20878</v>
      </c>
      <c r="I55" s="38">
        <v>-33115</v>
      </c>
      <c r="J55" s="38">
        <v>-25672</v>
      </c>
      <c r="K55" s="38">
        <v>-4444</v>
      </c>
      <c r="L55" s="38">
        <v>-15417</v>
      </c>
      <c r="M55" s="38">
        <v>-22781</v>
      </c>
      <c r="N55" s="38">
        <v>-49982</v>
      </c>
    </row>
    <row r="56" spans="2:14" x14ac:dyDescent="0.35">
      <c r="B56" s="39" t="s">
        <v>93</v>
      </c>
      <c r="C56" s="40">
        <v>-26975</v>
      </c>
      <c r="D56" s="40">
        <v>-31962</v>
      </c>
      <c r="E56" s="40">
        <v>-31503</v>
      </c>
      <c r="F56" s="40">
        <v>-16072</v>
      </c>
      <c r="G56" s="40">
        <v>-35079</v>
      </c>
      <c r="H56" s="40">
        <v>-35304</v>
      </c>
      <c r="I56" s="40">
        <v>-29702</v>
      </c>
      <c r="J56" s="40">
        <v>-20205</v>
      </c>
      <c r="K56" s="40">
        <v>-15168</v>
      </c>
      <c r="L56" s="40">
        <v>-19230</v>
      </c>
      <c r="M56" s="40">
        <v>-31414</v>
      </c>
      <c r="N56" s="40">
        <v>-38042</v>
      </c>
    </row>
    <row r="57" spans="2:14" x14ac:dyDescent="0.35">
      <c r="B57" s="39" t="s">
        <v>94</v>
      </c>
      <c r="C57" s="41">
        <v>50</v>
      </c>
      <c r="D57" s="41">
        <v>74</v>
      </c>
      <c r="E57" s="41">
        <v>59</v>
      </c>
      <c r="F57" s="41">
        <v>53</v>
      </c>
      <c r="G57" s="41">
        <v>30</v>
      </c>
      <c r="H57" s="41">
        <v>67</v>
      </c>
      <c r="I57" s="41">
        <v>171</v>
      </c>
      <c r="J57" s="41">
        <v>351</v>
      </c>
      <c r="K57" s="41">
        <v>230</v>
      </c>
      <c r="L57" s="41">
        <v>285</v>
      </c>
      <c r="M57" s="41">
        <v>231</v>
      </c>
      <c r="N57" s="41">
        <v>974</v>
      </c>
    </row>
    <row r="58" spans="2:14" x14ac:dyDescent="0.35">
      <c r="B58" s="39" t="s">
        <v>95</v>
      </c>
      <c r="C58" s="41">
        <v>-429</v>
      </c>
      <c r="D58" s="40">
        <v>-5461</v>
      </c>
      <c r="E58" s="40">
        <v>-4728</v>
      </c>
      <c r="F58" s="41">
        <v>-6</v>
      </c>
      <c r="G58" s="41">
        <v>-329</v>
      </c>
      <c r="H58" s="41">
        <v>-130</v>
      </c>
      <c r="I58" s="40">
        <v>-1439</v>
      </c>
      <c r="J58" s="40">
        <v>-7530</v>
      </c>
      <c r="K58" s="40">
        <v>-3008</v>
      </c>
      <c r="L58" s="41">
        <v>-50</v>
      </c>
      <c r="M58" s="41">
        <v>-74</v>
      </c>
      <c r="N58" s="40">
        <v>-12677</v>
      </c>
    </row>
    <row r="59" spans="2:14" x14ac:dyDescent="0.35">
      <c r="B59" s="39" t="s">
        <v>96</v>
      </c>
      <c r="C59" s="41">
        <v>4</v>
      </c>
      <c r="D59" s="41">
        <v>42</v>
      </c>
      <c r="E59" s="41">
        <v>89</v>
      </c>
      <c r="F59" s="40">
        <v>1965</v>
      </c>
      <c r="G59" s="40">
        <v>2381</v>
      </c>
      <c r="H59" s="40">
        <v>5644</v>
      </c>
      <c r="I59" s="41">
        <v>21</v>
      </c>
      <c r="J59" s="41">
        <v>226</v>
      </c>
      <c r="K59" s="41">
        <v>104</v>
      </c>
      <c r="L59" s="40">
        <v>6895</v>
      </c>
      <c r="M59" s="40">
        <v>10821</v>
      </c>
      <c r="N59" s="41">
        <v>111</v>
      </c>
    </row>
    <row r="60" spans="2:14" x14ac:dyDescent="0.35">
      <c r="B60" s="39" t="s">
        <v>97</v>
      </c>
      <c r="C60" s="41">
        <v>653</v>
      </c>
      <c r="D60" s="41">
        <v>698</v>
      </c>
      <c r="E60" s="41">
        <v>731</v>
      </c>
      <c r="F60" s="41">
        <v>638</v>
      </c>
      <c r="G60" s="41">
        <v>690</v>
      </c>
      <c r="H60" s="41">
        <v>761</v>
      </c>
      <c r="I60" s="40">
        <v>1104</v>
      </c>
      <c r="J60" s="41">
        <v>428</v>
      </c>
      <c r="K60" s="41">
        <v>653</v>
      </c>
      <c r="L60" s="41">
        <v>973</v>
      </c>
      <c r="M60" s="40">
        <v>2493</v>
      </c>
      <c r="N60" s="40">
        <v>2420</v>
      </c>
    </row>
    <row r="61" spans="2:14" x14ac:dyDescent="0.35">
      <c r="B61" s="39" t="s">
        <v>98</v>
      </c>
      <c r="C61" s="41">
        <v>40</v>
      </c>
      <c r="D61" s="41">
        <v>80</v>
      </c>
      <c r="E61" s="41">
        <v>58</v>
      </c>
      <c r="F61" s="41">
        <v>620</v>
      </c>
      <c r="G61" s="40">
        <v>1797</v>
      </c>
      <c r="H61" s="41">
        <v>232</v>
      </c>
      <c r="I61" s="41">
        <v>21</v>
      </c>
      <c r="J61" s="41">
        <v>18</v>
      </c>
      <c r="K61" s="41">
        <v>32</v>
      </c>
      <c r="L61" s="41">
        <v>46</v>
      </c>
      <c r="M61" s="41">
        <v>47</v>
      </c>
      <c r="N61" s="41">
        <v>64</v>
      </c>
    </row>
    <row r="62" spans="2:14" x14ac:dyDescent="0.35">
      <c r="B62" s="39" t="s">
        <v>99</v>
      </c>
      <c r="C62" s="41">
        <v>0</v>
      </c>
      <c r="D62" s="41">
        <v>-160</v>
      </c>
      <c r="E62" s="41">
        <v>0</v>
      </c>
      <c r="F62" s="41">
        <v>-107</v>
      </c>
      <c r="G62" s="41">
        <v>-4</v>
      </c>
      <c r="H62" s="41">
        <v>-9</v>
      </c>
      <c r="I62" s="41">
        <v>-606</v>
      </c>
      <c r="J62" s="41">
        <v>-10</v>
      </c>
      <c r="K62" s="41">
        <v>0</v>
      </c>
      <c r="L62" s="41">
        <v>0</v>
      </c>
      <c r="M62" s="41">
        <v>-150</v>
      </c>
      <c r="N62" s="41">
        <v>0</v>
      </c>
    </row>
    <row r="63" spans="2:14" x14ac:dyDescent="0.35">
      <c r="B63" s="39" t="s">
        <v>100</v>
      </c>
      <c r="C63" s="41">
        <v>0</v>
      </c>
      <c r="D63" s="41">
        <v>0</v>
      </c>
      <c r="E63" s="41">
        <v>0</v>
      </c>
      <c r="F63" s="41">
        <v>0</v>
      </c>
      <c r="G63" s="41">
        <v>14</v>
      </c>
      <c r="H63" s="41">
        <v>533</v>
      </c>
      <c r="I63" s="41">
        <v>0</v>
      </c>
      <c r="J63" s="41">
        <v>0</v>
      </c>
      <c r="K63" s="41">
        <v>0</v>
      </c>
      <c r="L63" s="41">
        <v>19</v>
      </c>
      <c r="M63" s="41">
        <v>107</v>
      </c>
      <c r="N63" s="41">
        <v>765</v>
      </c>
    </row>
    <row r="64" spans="2:14" x14ac:dyDescent="0.35">
      <c r="B64" s="39" t="s">
        <v>101</v>
      </c>
      <c r="C64" s="41">
        <v>-185</v>
      </c>
      <c r="D64" s="41">
        <v>0</v>
      </c>
      <c r="E64" s="41">
        <v>-111</v>
      </c>
      <c r="F64" s="41">
        <v>0</v>
      </c>
      <c r="G64" s="41">
        <v>0</v>
      </c>
      <c r="H64" s="41">
        <v>-8</v>
      </c>
      <c r="I64" s="41">
        <v>-27</v>
      </c>
      <c r="J64" s="41">
        <v>0</v>
      </c>
      <c r="K64" s="41">
        <v>-98</v>
      </c>
      <c r="L64" s="41">
        <v>0</v>
      </c>
      <c r="M64" s="41">
        <v>0</v>
      </c>
      <c r="N64" s="41">
        <v>-688</v>
      </c>
    </row>
    <row r="65" spans="2:14" x14ac:dyDescent="0.35">
      <c r="B65" s="39" t="s">
        <v>102</v>
      </c>
      <c r="C65" s="41">
        <v>0</v>
      </c>
      <c r="D65" s="41">
        <v>0</v>
      </c>
      <c r="E65" s="41">
        <v>0</v>
      </c>
      <c r="F65" s="41">
        <v>0</v>
      </c>
      <c r="G65" s="41">
        <v>0</v>
      </c>
      <c r="H65" s="41">
        <v>0</v>
      </c>
      <c r="I65" s="41">
        <v>0</v>
      </c>
      <c r="J65" s="41">
        <v>0</v>
      </c>
      <c r="K65" s="41">
        <v>0</v>
      </c>
      <c r="L65" s="41">
        <v>0</v>
      </c>
      <c r="M65" s="41">
        <v>-25</v>
      </c>
      <c r="N65" s="41">
        <v>-20</v>
      </c>
    </row>
    <row r="66" spans="2:14" ht="15" thickBot="1" x14ac:dyDescent="0.4">
      <c r="B66" s="39" t="s">
        <v>103</v>
      </c>
      <c r="C66" s="40">
        <v>-1149</v>
      </c>
      <c r="D66" s="41">
        <v>456</v>
      </c>
      <c r="E66" s="40">
        <v>-1289</v>
      </c>
      <c r="F66" s="40">
        <v>-26663</v>
      </c>
      <c r="G66" s="40">
        <v>5360</v>
      </c>
      <c r="H66" s="40">
        <v>7335</v>
      </c>
      <c r="I66" s="40">
        <v>-2659</v>
      </c>
      <c r="J66" s="40">
        <v>1051</v>
      </c>
      <c r="K66" s="40">
        <v>12813</v>
      </c>
      <c r="L66" s="40">
        <v>-4357</v>
      </c>
      <c r="M66" s="40">
        <v>-4817</v>
      </c>
      <c r="N66" s="40">
        <v>-2889</v>
      </c>
    </row>
    <row r="67" spans="2:14" x14ac:dyDescent="0.35">
      <c r="B67" s="30" t="s">
        <v>116</v>
      </c>
      <c r="C67" s="31">
        <v>-3883</v>
      </c>
      <c r="D67" s="31">
        <v>5201</v>
      </c>
      <c r="E67" s="31">
        <v>-3795</v>
      </c>
      <c r="F67" s="31">
        <v>6205</v>
      </c>
      <c r="G67" s="31">
        <v>2012</v>
      </c>
      <c r="H67" s="31">
        <v>8830</v>
      </c>
      <c r="I67" s="31">
        <v>3390</v>
      </c>
      <c r="J67" s="31">
        <v>9904</v>
      </c>
      <c r="K67" s="31">
        <v>-3380</v>
      </c>
      <c r="L67" s="31">
        <v>-26243</v>
      </c>
      <c r="M67" s="31">
        <v>-37006</v>
      </c>
      <c r="N67" s="31">
        <v>-18786</v>
      </c>
    </row>
    <row r="68" spans="2:14" x14ac:dyDescent="0.35">
      <c r="B68" s="33" t="s">
        <v>104</v>
      </c>
      <c r="C68" s="34">
        <v>0</v>
      </c>
      <c r="D68" s="34">
        <v>0</v>
      </c>
      <c r="E68" s="35">
        <v>7433</v>
      </c>
      <c r="F68" s="34">
        <v>5</v>
      </c>
      <c r="G68" s="34">
        <v>0</v>
      </c>
      <c r="H68" s="34">
        <v>0</v>
      </c>
      <c r="I68" s="35">
        <v>3889</v>
      </c>
      <c r="J68" s="35">
        <v>2603</v>
      </c>
      <c r="K68" s="34">
        <v>19</v>
      </c>
      <c r="L68" s="34">
        <v>20</v>
      </c>
      <c r="M68" s="34">
        <v>82</v>
      </c>
      <c r="N68" s="35">
        <v>1108</v>
      </c>
    </row>
    <row r="69" spans="2:14" x14ac:dyDescent="0.35">
      <c r="B69" s="33" t="s">
        <v>105</v>
      </c>
      <c r="C69" s="34">
        <v>-658</v>
      </c>
      <c r="D69" s="34">
        <v>-744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</row>
    <row r="70" spans="2:14" x14ac:dyDescent="0.35">
      <c r="B70" s="33" t="s">
        <v>106</v>
      </c>
      <c r="C70" s="35">
        <v>33258</v>
      </c>
      <c r="D70" s="35">
        <v>36363</v>
      </c>
      <c r="E70" s="35">
        <v>19519</v>
      </c>
      <c r="F70" s="35">
        <v>33390</v>
      </c>
      <c r="G70" s="35">
        <v>37482</v>
      </c>
      <c r="H70" s="35">
        <v>51128</v>
      </c>
      <c r="I70" s="35">
        <v>38297</v>
      </c>
      <c r="J70" s="35">
        <v>46641</v>
      </c>
      <c r="K70" s="35">
        <v>46578</v>
      </c>
      <c r="L70" s="35">
        <v>43934</v>
      </c>
      <c r="M70" s="35">
        <v>18829</v>
      </c>
      <c r="N70" s="35">
        <v>13384</v>
      </c>
    </row>
    <row r="71" spans="2:14" x14ac:dyDescent="0.35">
      <c r="B71" s="33" t="s">
        <v>107</v>
      </c>
      <c r="C71" s="35">
        <v>-29141</v>
      </c>
      <c r="D71" s="35">
        <v>-23332</v>
      </c>
      <c r="E71" s="35">
        <v>-24924</v>
      </c>
      <c r="F71" s="35">
        <v>-21732</v>
      </c>
      <c r="G71" s="35">
        <v>-29964</v>
      </c>
      <c r="H71" s="35">
        <v>-35198</v>
      </c>
      <c r="I71" s="35">
        <v>-29847</v>
      </c>
      <c r="J71" s="35">
        <v>-29709</v>
      </c>
      <c r="K71" s="35">
        <v>-42816</v>
      </c>
      <c r="L71" s="35">
        <v>-62557</v>
      </c>
      <c r="M71" s="35">
        <v>-47414</v>
      </c>
      <c r="N71" s="35">
        <v>-21443</v>
      </c>
    </row>
    <row r="72" spans="2:14" x14ac:dyDescent="0.35">
      <c r="B72" s="33" t="s">
        <v>108</v>
      </c>
      <c r="C72" s="35">
        <v>-6171</v>
      </c>
      <c r="D72" s="35">
        <v>-6307</v>
      </c>
      <c r="E72" s="35">
        <v>-5716</v>
      </c>
      <c r="F72" s="35">
        <v>-5336</v>
      </c>
      <c r="G72" s="35">
        <v>-5411</v>
      </c>
      <c r="H72" s="35">
        <v>-7005</v>
      </c>
      <c r="I72" s="35">
        <v>-7518</v>
      </c>
      <c r="J72" s="35">
        <v>-8123</v>
      </c>
      <c r="K72" s="35">
        <v>-9251</v>
      </c>
      <c r="L72" s="35">
        <v>-9336</v>
      </c>
      <c r="M72" s="35">
        <v>-9332</v>
      </c>
      <c r="N72" s="35">
        <v>-5814</v>
      </c>
    </row>
    <row r="73" spans="2:14" x14ac:dyDescent="0.35">
      <c r="B73" s="33" t="s">
        <v>109</v>
      </c>
      <c r="C73" s="34">
        <v>-722</v>
      </c>
      <c r="D73" s="34">
        <v>-720</v>
      </c>
      <c r="E73" s="34">
        <v>-108</v>
      </c>
      <c r="F73" s="34">
        <v>-121</v>
      </c>
      <c r="G73" s="34">
        <v>-96</v>
      </c>
      <c r="H73" s="34">
        <v>-95</v>
      </c>
      <c r="I73" s="34">
        <v>-57</v>
      </c>
      <c r="J73" s="34">
        <v>-30</v>
      </c>
      <c r="K73" s="34">
        <v>-100</v>
      </c>
      <c r="L73" s="34">
        <v>-141</v>
      </c>
      <c r="M73" s="35">
        <v>-1059</v>
      </c>
      <c r="N73" s="35">
        <v>-2492</v>
      </c>
    </row>
    <row r="74" spans="2:14" x14ac:dyDescent="0.35">
      <c r="B74" s="33" t="s">
        <v>110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5">
        <v>-1346</v>
      </c>
      <c r="J74" s="35">
        <v>-1477</v>
      </c>
      <c r="K74" s="35">
        <v>-1559</v>
      </c>
      <c r="L74" s="35">
        <v>-1517</v>
      </c>
      <c r="M74" s="35">
        <v>-1924</v>
      </c>
      <c r="N74" s="35">
        <v>-2393</v>
      </c>
    </row>
    <row r="75" spans="2:14" ht="15" thickBot="1" x14ac:dyDescent="0.4">
      <c r="B75" s="33" t="s">
        <v>111</v>
      </c>
      <c r="C75" s="34">
        <v>-450</v>
      </c>
      <c r="D75" s="34">
        <v>-57</v>
      </c>
      <c r="E75" s="34">
        <v>0</v>
      </c>
      <c r="F75" s="34">
        <v>0</v>
      </c>
      <c r="G75" s="34">
        <v>0</v>
      </c>
      <c r="H75" s="34">
        <v>0</v>
      </c>
      <c r="I75" s="34">
        <v>-29</v>
      </c>
      <c r="J75" s="34">
        <v>0</v>
      </c>
      <c r="K75" s="35">
        <v>3750</v>
      </c>
      <c r="L75" s="35">
        <v>3355</v>
      </c>
      <c r="M75" s="35">
        <v>3812</v>
      </c>
      <c r="N75" s="35">
        <v>-1136</v>
      </c>
    </row>
    <row r="76" spans="2:14" x14ac:dyDescent="0.35">
      <c r="B76" s="37" t="s">
        <v>50</v>
      </c>
      <c r="C76" s="38">
        <v>4277</v>
      </c>
      <c r="D76" s="38">
        <v>4500</v>
      </c>
      <c r="E76" s="38">
        <v>-2589</v>
      </c>
      <c r="F76" s="38">
        <v>-3167</v>
      </c>
      <c r="G76" s="42">
        <v>730</v>
      </c>
      <c r="H76" s="38">
        <v>6843</v>
      </c>
      <c r="I76" s="38">
        <v>-3092</v>
      </c>
      <c r="J76" s="38">
        <v>13232</v>
      </c>
      <c r="K76" s="38">
        <v>6459</v>
      </c>
      <c r="L76" s="38">
        <v>-6272</v>
      </c>
      <c r="M76" s="38">
        <v>8128</v>
      </c>
      <c r="N76" s="38">
        <v>-5666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6B26-7913-4010-8FD9-142839BCE75C}">
  <sheetPr>
    <pageSetUpPr fitToPage="1"/>
  </sheetPr>
  <dimension ref="A2:M105"/>
  <sheetViews>
    <sheetView showGridLines="0" zoomScale="83" zoomScaleNormal="100" workbookViewId="0">
      <selection activeCell="M24" sqref="M24"/>
    </sheetView>
  </sheetViews>
  <sheetFormatPr defaultRowHeight="14.5" x14ac:dyDescent="0.35"/>
  <cols>
    <col min="1" max="1" width="2.1796875" customWidth="1"/>
    <col min="2" max="2" width="26.54296875" bestFit="1" customWidth="1"/>
    <col min="3" max="3" width="12.81640625" bestFit="1" customWidth="1"/>
    <col min="4" max="13" width="12" bestFit="1" customWidth="1"/>
    <col min="2000" max="2000" width="2.453125" customWidth="1"/>
  </cols>
  <sheetData>
    <row r="2" spans="1:13" x14ac:dyDescent="0.35">
      <c r="B2" s="135" t="str">
        <f>"Historical Financial Statements - "&amp;'Data Sheet'!B1</f>
        <v>Historical Financial Statements - TATA MOTORS LTD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</row>
    <row r="3" spans="1:13" x14ac:dyDescent="0.35">
      <c r="B3" s="9" t="s">
        <v>54</v>
      </c>
      <c r="C3" s="10">
        <f>'Data Sheet'!B16</f>
        <v>42460</v>
      </c>
      <c r="D3" s="10">
        <f>'Data Sheet'!C16</f>
        <v>42825</v>
      </c>
      <c r="E3" s="10">
        <f>'Data Sheet'!D16</f>
        <v>43190</v>
      </c>
      <c r="F3" s="10">
        <f>'Data Sheet'!E16</f>
        <v>43555</v>
      </c>
      <c r="G3" s="10">
        <f>'Data Sheet'!F16</f>
        <v>43921</v>
      </c>
      <c r="H3" s="10">
        <f>'Data Sheet'!G16</f>
        <v>44286</v>
      </c>
      <c r="I3" s="10">
        <f>'Data Sheet'!H16</f>
        <v>44651</v>
      </c>
      <c r="J3" s="10">
        <f>'Data Sheet'!I16</f>
        <v>45016</v>
      </c>
      <c r="K3" s="10">
        <f>'Data Sheet'!J16</f>
        <v>45382</v>
      </c>
      <c r="L3" s="10">
        <f>'Data Sheet'!K16</f>
        <v>45747</v>
      </c>
      <c r="M3" s="11" t="s">
        <v>55</v>
      </c>
    </row>
    <row r="4" spans="1:13" s="21" customFormat="1" x14ac:dyDescent="0.35">
      <c r="B4" s="22"/>
      <c r="C4" s="23"/>
      <c r="D4" s="23"/>
      <c r="E4" s="23"/>
      <c r="F4" s="23"/>
      <c r="G4" s="23"/>
      <c r="H4" s="23"/>
      <c r="I4" s="23"/>
      <c r="J4" s="23"/>
      <c r="K4" s="23"/>
      <c r="L4" s="23"/>
      <c r="M4" s="24"/>
    </row>
    <row r="5" spans="1:13" x14ac:dyDescent="0.35">
      <c r="A5" t="s">
        <v>57</v>
      </c>
      <c r="B5" s="16" t="s">
        <v>56</v>
      </c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x14ac:dyDescent="0.35">
      <c r="B6" s="12" t="s">
        <v>12</v>
      </c>
      <c r="C6" s="19">
        <f>IFERROR('Data Sheet'!B17,0)</f>
        <v>273045.59999999998</v>
      </c>
      <c r="D6" s="19">
        <f>IFERROR('Data Sheet'!C17,0)</f>
        <v>269692.51</v>
      </c>
      <c r="E6" s="19">
        <f>IFERROR('Data Sheet'!D17,0)</f>
        <v>291550.48</v>
      </c>
      <c r="F6" s="19">
        <f>IFERROR('Data Sheet'!E17,0)</f>
        <v>301938.40000000002</v>
      </c>
      <c r="G6" s="19">
        <f>IFERROR('Data Sheet'!F17,0)</f>
        <v>261067.97</v>
      </c>
      <c r="H6" s="19">
        <f>IFERROR('Data Sheet'!G17,0)</f>
        <v>249794.75</v>
      </c>
      <c r="I6" s="19">
        <f>IFERROR('Data Sheet'!H17,0)</f>
        <v>278453.62</v>
      </c>
      <c r="J6" s="19">
        <f>IFERROR('Data Sheet'!I17,0)</f>
        <v>345966.97</v>
      </c>
      <c r="K6" s="19">
        <f>IFERROR('Data Sheet'!J17,0)</f>
        <v>434016</v>
      </c>
      <c r="L6" s="19">
        <f>IFERROR('Data Sheet'!K17,0)</f>
        <v>439695</v>
      </c>
      <c r="M6" s="19">
        <f>IFERROR(SUM('Data Sheet'!H42:K42),0)</f>
        <v>441609</v>
      </c>
    </row>
    <row r="7" spans="1:13" s="13" customFormat="1" x14ac:dyDescent="0.35">
      <c r="B7" s="14" t="s">
        <v>58</v>
      </c>
      <c r="D7" s="15">
        <f>D6/C6-1</f>
        <v>-1.2280329732469508E-2</v>
      </c>
      <c r="E7" s="15">
        <f t="shared" ref="E7:M7" si="0">E6/D6-1</f>
        <v>8.104774581985974E-2</v>
      </c>
      <c r="F7" s="15">
        <f t="shared" si="0"/>
        <v>3.5629919045237157E-2</v>
      </c>
      <c r="G7" s="15">
        <f t="shared" si="0"/>
        <v>-0.135360159555724</v>
      </c>
      <c r="H7" s="15">
        <f t="shared" si="0"/>
        <v>-4.3181168490336042E-2</v>
      </c>
      <c r="I7" s="15">
        <f t="shared" si="0"/>
        <v>0.11472967306158344</v>
      </c>
      <c r="J7" s="15">
        <f t="shared" si="0"/>
        <v>0.24245815155859707</v>
      </c>
      <c r="K7" s="15">
        <f t="shared" si="0"/>
        <v>0.25450126062612277</v>
      </c>
      <c r="L7" s="15">
        <f t="shared" si="0"/>
        <v>1.3084771068347711E-2</v>
      </c>
      <c r="M7" s="15">
        <f t="shared" si="0"/>
        <v>4.3530174325385751E-3</v>
      </c>
    </row>
    <row r="9" spans="1:13" x14ac:dyDescent="0.35">
      <c r="B9" s="12" t="s">
        <v>59</v>
      </c>
      <c r="C9" s="19">
        <f>IFERROR(SUM('Data Sheet'!B18,'Data Sheet'!B20:B22)-1*'Data Sheet'!B19,0)</f>
        <v>205509.07</v>
      </c>
      <c r="D9" s="19">
        <f>IFERROR(SUM('Data Sheet'!C18,'Data Sheet'!C20:C22)-1*'Data Sheet'!C19,0)</f>
        <v>205454.23999999996</v>
      </c>
      <c r="E9" s="19">
        <f>IFERROR(SUM('Data Sheet'!D18,'Data Sheet'!D20:D22)-1*'Data Sheet'!D19,0)</f>
        <v>228429.83</v>
      </c>
      <c r="F9" s="19">
        <f>IFERROR(SUM('Data Sheet'!E18,'Data Sheet'!E20:E22)-1*'Data Sheet'!E19,0)</f>
        <v>242845.53</v>
      </c>
      <c r="G9" s="19">
        <f>IFERROR(SUM('Data Sheet'!F18,'Data Sheet'!F20:F22)-1*'Data Sheet'!F19,0)</f>
        <v>210376.07000000004</v>
      </c>
      <c r="H9" s="19">
        <f>IFERROR(SUM('Data Sheet'!G18,'Data Sheet'!G20:G22)-1*'Data Sheet'!G19,0)</f>
        <v>195326.04</v>
      </c>
      <c r="I9" s="19">
        <f>IFERROR(SUM('Data Sheet'!H18,'Data Sheet'!H20:H22)-1*'Data Sheet'!H19,0)</f>
        <v>223300.00999999998</v>
      </c>
      <c r="J9" s="19">
        <f>IFERROR(SUM('Data Sheet'!I18,'Data Sheet'!I20:I22)-1*'Data Sheet'!I19,0)</f>
        <v>274403.64</v>
      </c>
      <c r="K9" s="19">
        <f>IFERROR(SUM('Data Sheet'!J18,'Data Sheet'!J20:J22)-1*'Data Sheet'!J19,0)</f>
        <v>334380</v>
      </c>
      <c r="L9" s="19">
        <f>IFERROR(SUM('Data Sheet'!K18,'Data Sheet'!K20:K22)-1*'Data Sheet'!K19,0)</f>
        <v>340809</v>
      </c>
      <c r="M9" s="19">
        <f>IFERROR(SUM('Data Sheet'!H43:K43),0)</f>
        <v>384424</v>
      </c>
    </row>
    <row r="10" spans="1:13" x14ac:dyDescent="0.35">
      <c r="B10" s="14" t="s">
        <v>60</v>
      </c>
      <c r="C10" s="15">
        <f>C9/C6</f>
        <v>0.75265475803309057</v>
      </c>
      <c r="D10" s="15">
        <f t="shared" ref="D10:M10" si="1">D9/D6</f>
        <v>0.76180921746770036</v>
      </c>
      <c r="E10" s="15">
        <f t="shared" si="1"/>
        <v>0.78350009919380004</v>
      </c>
      <c r="F10" s="15">
        <f t="shared" si="1"/>
        <v>0.80428832503583503</v>
      </c>
      <c r="G10" s="15">
        <f t="shared" si="1"/>
        <v>0.80582872728508226</v>
      </c>
      <c r="H10" s="15">
        <f t="shared" si="1"/>
        <v>0.7819461377791167</v>
      </c>
      <c r="I10" s="15">
        <f t="shared" si="1"/>
        <v>0.80192891728252624</v>
      </c>
      <c r="J10" s="15">
        <f t="shared" si="1"/>
        <v>0.79314982005363122</v>
      </c>
      <c r="K10" s="15">
        <f t="shared" si="1"/>
        <v>0.7704324264543243</v>
      </c>
      <c r="L10" s="15">
        <f t="shared" si="1"/>
        <v>0.77510319653396109</v>
      </c>
      <c r="M10" s="15">
        <f t="shared" si="1"/>
        <v>0.87050762099504309</v>
      </c>
    </row>
    <row r="12" spans="1:13" x14ac:dyDescent="0.35">
      <c r="B12" s="12" t="s">
        <v>61</v>
      </c>
      <c r="C12" s="19">
        <f>C6-C9</f>
        <v>67536.52999999997</v>
      </c>
      <c r="D12" s="19">
        <f t="shared" ref="D12:M12" si="2">D6-D9</f>
        <v>64238.270000000048</v>
      </c>
      <c r="E12" s="19">
        <f t="shared" si="2"/>
        <v>63120.649999999994</v>
      </c>
      <c r="F12" s="19">
        <f t="shared" si="2"/>
        <v>59092.870000000024</v>
      </c>
      <c r="G12" s="19">
        <f t="shared" si="2"/>
        <v>50691.899999999965</v>
      </c>
      <c r="H12" s="19">
        <f t="shared" si="2"/>
        <v>54468.709999999992</v>
      </c>
      <c r="I12" s="19">
        <f t="shared" si="2"/>
        <v>55153.610000000015</v>
      </c>
      <c r="J12" s="19">
        <f t="shared" si="2"/>
        <v>71563.329999999958</v>
      </c>
      <c r="K12" s="19">
        <f t="shared" si="2"/>
        <v>99636</v>
      </c>
      <c r="L12" s="19">
        <f t="shared" si="2"/>
        <v>98886</v>
      </c>
      <c r="M12" s="19">
        <f t="shared" si="2"/>
        <v>57185</v>
      </c>
    </row>
    <row r="13" spans="1:13" s="14" customFormat="1" x14ac:dyDescent="0.35">
      <c r="B13" s="14" t="s">
        <v>69</v>
      </c>
      <c r="C13" s="15">
        <f>C12/C6</f>
        <v>0.24734524196690946</v>
      </c>
      <c r="D13" s="15">
        <f t="shared" ref="D13:M13" si="3">D12/D6</f>
        <v>0.23819078253229964</v>
      </c>
      <c r="E13" s="15">
        <f t="shared" si="3"/>
        <v>0.21649990080619999</v>
      </c>
      <c r="F13" s="15">
        <f t="shared" si="3"/>
        <v>0.19571167496416494</v>
      </c>
      <c r="G13" s="15">
        <f t="shared" si="3"/>
        <v>0.19417127271491774</v>
      </c>
      <c r="H13" s="15">
        <f t="shared" si="3"/>
        <v>0.2180538622208833</v>
      </c>
      <c r="I13" s="15">
        <f t="shared" si="3"/>
        <v>0.19807108271747378</v>
      </c>
      <c r="J13" s="15">
        <f t="shared" si="3"/>
        <v>0.20685017994636876</v>
      </c>
      <c r="K13" s="15">
        <f t="shared" si="3"/>
        <v>0.22956757354567572</v>
      </c>
      <c r="L13" s="15">
        <f t="shared" si="3"/>
        <v>0.22489680346603896</v>
      </c>
      <c r="M13" s="15">
        <f t="shared" si="3"/>
        <v>0.12949237900495689</v>
      </c>
    </row>
    <row r="15" spans="1:13" x14ac:dyDescent="0.35">
      <c r="B15" s="12" t="s">
        <v>62</v>
      </c>
      <c r="C15" s="19">
        <f>IFERROR(SUM('Data Sheet'!B23:B24),0)</f>
        <v>29141.280000000002</v>
      </c>
      <c r="D15" s="19">
        <f>IFERROR(SUM('Data Sheet'!C23:C24),0)</f>
        <v>34649.58</v>
      </c>
      <c r="E15" s="19">
        <f>IFERROR(SUM('Data Sheet'!D23:D24),0)</f>
        <v>31662.97</v>
      </c>
      <c r="F15" s="19">
        <f>IFERROR(SUM('Data Sheet'!E23:E24),0)</f>
        <v>34428.54</v>
      </c>
      <c r="G15" s="19">
        <f>IFERROR(SUM('Data Sheet'!F23:F24),0)</f>
        <v>32704.83</v>
      </c>
      <c r="H15" s="19">
        <f>IFERROR(SUM('Data Sheet'!G23:G24),0)</f>
        <v>22181.280000000002</v>
      </c>
      <c r="I15" s="19">
        <f>IFERROR(SUM('Data Sheet'!H23:H24),0)</f>
        <v>30433.52</v>
      </c>
      <c r="J15" s="19">
        <f>IFERROR(SUM('Data Sheet'!I23:I24),0)</f>
        <v>39747.53</v>
      </c>
      <c r="K15" s="19">
        <f>IFERROR(SUM('Data Sheet'!J23:J24),0)</f>
        <v>41812</v>
      </c>
      <c r="L15" s="19">
        <f>IFERROR(SUM('Data Sheet'!K23:K24),0)</f>
        <v>43670</v>
      </c>
      <c r="M15" s="12"/>
    </row>
    <row r="16" spans="1:13" x14ac:dyDescent="0.35">
      <c r="B16" s="14" t="s">
        <v>63</v>
      </c>
      <c r="C16" s="15">
        <f>C15/C6</f>
        <v>0.10672678849247161</v>
      </c>
      <c r="D16" s="15">
        <f t="shared" ref="D16:M16" si="4">D15/D6</f>
        <v>0.12847809529452636</v>
      </c>
      <c r="E16" s="15">
        <f t="shared" si="4"/>
        <v>0.10860201636437025</v>
      </c>
      <c r="F16" s="15">
        <f t="shared" si="4"/>
        <v>0.11402504616835751</v>
      </c>
      <c r="G16" s="15">
        <f t="shared" si="4"/>
        <v>0.12527323822987554</v>
      </c>
      <c r="H16" s="15">
        <f t="shared" si="4"/>
        <v>8.8798023177028354E-2</v>
      </c>
      <c r="I16" s="15">
        <f t="shared" si="4"/>
        <v>0.10929475436519734</v>
      </c>
      <c r="J16" s="15">
        <f t="shared" si="4"/>
        <v>0.11488822184383672</v>
      </c>
      <c r="K16" s="15">
        <f t="shared" si="4"/>
        <v>9.6337462213374622E-2</v>
      </c>
      <c r="L16" s="15">
        <f t="shared" si="4"/>
        <v>9.9318846018262658E-2</v>
      </c>
      <c r="M16" s="15">
        <f t="shared" si="4"/>
        <v>0</v>
      </c>
    </row>
    <row r="18" spans="2:13" x14ac:dyDescent="0.35">
      <c r="B18" s="12" t="s">
        <v>64</v>
      </c>
      <c r="C18" s="19">
        <f t="shared" ref="C18:L18" si="5">C12-C15</f>
        <v>38395.249999999971</v>
      </c>
      <c r="D18" s="19">
        <f t="shared" si="5"/>
        <v>29588.690000000046</v>
      </c>
      <c r="E18" s="19">
        <f t="shared" si="5"/>
        <v>31457.679999999993</v>
      </c>
      <c r="F18" s="19">
        <f t="shared" si="5"/>
        <v>24664.330000000024</v>
      </c>
      <c r="G18" s="19">
        <f t="shared" si="5"/>
        <v>17987.069999999963</v>
      </c>
      <c r="H18" s="19">
        <f t="shared" si="5"/>
        <v>32287.429999999989</v>
      </c>
      <c r="I18" s="19">
        <f t="shared" si="5"/>
        <v>24720.090000000015</v>
      </c>
      <c r="J18" s="19">
        <f t="shared" si="5"/>
        <v>31815.799999999959</v>
      </c>
      <c r="K18" s="19">
        <f t="shared" si="5"/>
        <v>57824</v>
      </c>
      <c r="L18" s="19">
        <f t="shared" si="5"/>
        <v>55216</v>
      </c>
      <c r="M18" s="20"/>
    </row>
    <row r="19" spans="2:13" s="14" customFormat="1" x14ac:dyDescent="0.35">
      <c r="B19" s="14" t="s">
        <v>65</v>
      </c>
      <c r="C19" s="15">
        <f>C18/C6</f>
        <v>0.14061845347443788</v>
      </c>
      <c r="D19" s="15">
        <f t="shared" ref="D19:M19" si="6">D18/D6</f>
        <v>0.10971268723777329</v>
      </c>
      <c r="E19" s="15">
        <f t="shared" si="6"/>
        <v>0.10789788444182975</v>
      </c>
      <c r="F19" s="15">
        <f t="shared" si="6"/>
        <v>8.1686628795807431E-2</v>
      </c>
      <c r="G19" s="15">
        <f t="shared" si="6"/>
        <v>6.8898034485042198E-2</v>
      </c>
      <c r="H19" s="15">
        <f t="shared" si="6"/>
        <v>0.12925583904385496</v>
      </c>
      <c r="I19" s="15">
        <f t="shared" si="6"/>
        <v>8.877632835227646E-2</v>
      </c>
      <c r="J19" s="15">
        <f t="shared" si="6"/>
        <v>9.1961958102532049E-2</v>
      </c>
      <c r="K19" s="15">
        <f t="shared" si="6"/>
        <v>0.13323011133230112</v>
      </c>
      <c r="L19" s="15">
        <f t="shared" si="6"/>
        <v>0.12557795744777631</v>
      </c>
      <c r="M19" s="15">
        <f t="shared" si="6"/>
        <v>0</v>
      </c>
    </row>
    <row r="21" spans="2:13" x14ac:dyDescent="0.35">
      <c r="B21" s="12" t="s">
        <v>22</v>
      </c>
      <c r="C21" s="19">
        <f>IFERROR('Data Sheet'!B27,0)</f>
        <v>4889.08</v>
      </c>
      <c r="D21" s="19">
        <f>IFERROR('Data Sheet'!C27,0)</f>
        <v>4238.01</v>
      </c>
      <c r="E21" s="19">
        <f>IFERROR('Data Sheet'!D27,0)</f>
        <v>4681.79</v>
      </c>
      <c r="F21" s="19">
        <f>IFERROR('Data Sheet'!E27,0)</f>
        <v>5758.6</v>
      </c>
      <c r="G21" s="19">
        <f>IFERROR('Data Sheet'!F27,0)</f>
        <v>7243.33</v>
      </c>
      <c r="H21" s="19">
        <f>IFERROR('Data Sheet'!G27,0)</f>
        <v>8097.17</v>
      </c>
      <c r="I21" s="19">
        <f>IFERROR('Data Sheet'!H27,0)</f>
        <v>9311.86</v>
      </c>
      <c r="J21" s="19">
        <f>IFERROR('Data Sheet'!I27,0)</f>
        <v>10225.48</v>
      </c>
      <c r="K21" s="19">
        <f>IFERROR('Data Sheet'!J27,0)</f>
        <v>7594</v>
      </c>
      <c r="L21" s="19">
        <f>IFERROR('Data Sheet'!K27,0)</f>
        <v>5083</v>
      </c>
      <c r="M21" s="19">
        <f>IFERROR(SUM('Data Sheet'!H46:K46),0)</f>
        <v>6317</v>
      </c>
    </row>
    <row r="22" spans="2:13" s="14" customFormat="1" x14ac:dyDescent="0.35">
      <c r="B22" s="14" t="s">
        <v>66</v>
      </c>
      <c r="C22" s="15">
        <f t="shared" ref="C22:M22" si="7">C21/C6</f>
        <v>1.7905727101993223E-2</v>
      </c>
      <c r="D22" s="15">
        <f t="shared" si="7"/>
        <v>1.5714229512714312E-2</v>
      </c>
      <c r="E22" s="15">
        <f t="shared" si="7"/>
        <v>1.605824830060304E-2</v>
      </c>
      <c r="F22" s="15">
        <f t="shared" si="7"/>
        <v>1.9072102124141878E-2</v>
      </c>
      <c r="G22" s="15">
        <f t="shared" si="7"/>
        <v>2.7744996829752802E-2</v>
      </c>
      <c r="H22" s="15">
        <f t="shared" si="7"/>
        <v>3.2415292955516477E-2</v>
      </c>
      <c r="I22" s="15">
        <f t="shared" si="7"/>
        <v>3.3441332168710897E-2</v>
      </c>
      <c r="J22" s="15">
        <f t="shared" si="7"/>
        <v>2.9556231914277829E-2</v>
      </c>
      <c r="K22" s="15">
        <f t="shared" si="7"/>
        <v>1.7497050799970507E-2</v>
      </c>
      <c r="L22" s="15">
        <f t="shared" si="7"/>
        <v>1.1560286107415368E-2</v>
      </c>
      <c r="M22" s="15">
        <f t="shared" si="7"/>
        <v>1.4304509192520985E-2</v>
      </c>
    </row>
    <row r="24" spans="2:13" x14ac:dyDescent="0.35">
      <c r="B24" s="12" t="s">
        <v>21</v>
      </c>
      <c r="C24" s="19">
        <f>IFERROR('Data Sheet'!B45,0)</f>
        <v>6071.78</v>
      </c>
      <c r="D24" s="19">
        <f>IFERROR('Data Sheet'!C45,0)</f>
        <v>7050.2</v>
      </c>
      <c r="E24" s="19">
        <f>IFERROR('Data Sheet'!D45,0)</f>
        <v>6633</v>
      </c>
      <c r="F24" s="19">
        <f>IFERROR('Data Sheet'!E45,0)</f>
        <v>6637</v>
      </c>
      <c r="G24" s="19">
        <f>IFERROR('Data Sheet'!F45,0)</f>
        <v>6850</v>
      </c>
      <c r="H24" s="19">
        <f>IFERROR('Data Sheet'!G45,0)</f>
        <v>7143</v>
      </c>
      <c r="I24" s="19">
        <f>IFERROR('Data Sheet'!H45,0)</f>
        <v>6574</v>
      </c>
      <c r="J24" s="19">
        <f>IFERROR('Data Sheet'!I45,0)</f>
        <v>6005</v>
      </c>
      <c r="K24" s="19">
        <f>IFERROR('Data Sheet'!J45,0)</f>
        <v>5399</v>
      </c>
      <c r="L24" s="19">
        <f>IFERROR('Data Sheet'!K45,0)</f>
        <v>5295</v>
      </c>
      <c r="M24" s="19">
        <f>IFERROR(SUM('Data Sheet'!H45:K45),0)</f>
        <v>23273</v>
      </c>
    </row>
    <row r="25" spans="2:13" s="14" customFormat="1" x14ac:dyDescent="0.35">
      <c r="B25" s="14" t="s">
        <v>67</v>
      </c>
      <c r="C25" s="15">
        <f t="shared" ref="C25:M25" si="8">C24/C6</f>
        <v>2.2237238029105762E-2</v>
      </c>
      <c r="D25" s="15">
        <f t="shared" si="8"/>
        <v>2.6141623287943738E-2</v>
      </c>
      <c r="E25" s="15">
        <f t="shared" si="8"/>
        <v>2.2750777155297431E-2</v>
      </c>
      <c r="F25" s="15">
        <f t="shared" si="8"/>
        <v>2.1981304795945133E-2</v>
      </c>
      <c r="G25" s="15">
        <f t="shared" si="8"/>
        <v>2.6238377691449471E-2</v>
      </c>
      <c r="H25" s="15">
        <f t="shared" si="8"/>
        <v>2.8595476886523835E-2</v>
      </c>
      <c r="I25" s="15">
        <f t="shared" si="8"/>
        <v>2.360895864812244E-2</v>
      </c>
      <c r="J25" s="15">
        <f t="shared" si="8"/>
        <v>1.7357148284993799E-2</v>
      </c>
      <c r="K25" s="15">
        <f t="shared" si="8"/>
        <v>1.2439633561896335E-2</v>
      </c>
      <c r="L25" s="15">
        <f t="shared" si="8"/>
        <v>1.2042438508511583E-2</v>
      </c>
      <c r="M25" s="15">
        <f t="shared" si="8"/>
        <v>5.2700465796666283E-2</v>
      </c>
    </row>
    <row r="26" spans="2:13" s="14" customFormat="1" x14ac:dyDescent="0.35">
      <c r="B26"/>
      <c r="C26"/>
      <c r="D26"/>
      <c r="E26"/>
      <c r="F26"/>
      <c r="G26"/>
      <c r="H26"/>
      <c r="I26"/>
      <c r="J26"/>
      <c r="K26"/>
      <c r="L26"/>
      <c r="M26"/>
    </row>
    <row r="27" spans="2:13" s="14" customFormat="1" x14ac:dyDescent="0.35">
      <c r="B27" s="12" t="s">
        <v>68</v>
      </c>
      <c r="C27" s="19">
        <f t="shared" ref="C27:M27" si="9">IFERROR(C18-SUM(C21,C24),0)</f>
        <v>27434.38999999997</v>
      </c>
      <c r="D27" s="19">
        <f t="shared" si="9"/>
        <v>18300.480000000047</v>
      </c>
      <c r="E27" s="19">
        <f t="shared" si="9"/>
        <v>20142.889999999992</v>
      </c>
      <c r="F27" s="19">
        <f t="shared" si="9"/>
        <v>12268.730000000023</v>
      </c>
      <c r="G27" s="19">
        <f t="shared" si="9"/>
        <v>3893.7399999999634</v>
      </c>
      <c r="H27" s="19">
        <f t="shared" si="9"/>
        <v>17047.259999999987</v>
      </c>
      <c r="I27" s="19">
        <f t="shared" si="9"/>
        <v>8834.2300000000141</v>
      </c>
      <c r="J27" s="19">
        <f t="shared" si="9"/>
        <v>15585.31999999996</v>
      </c>
      <c r="K27" s="19">
        <f t="shared" si="9"/>
        <v>44831</v>
      </c>
      <c r="L27" s="19">
        <f t="shared" si="9"/>
        <v>44838</v>
      </c>
      <c r="M27" s="19">
        <f t="shared" si="9"/>
        <v>-29590</v>
      </c>
    </row>
    <row r="28" spans="2:13" s="14" customFormat="1" x14ac:dyDescent="0.35">
      <c r="B28" s="14" t="s">
        <v>71</v>
      </c>
      <c r="C28" s="26">
        <f t="shared" ref="C28:M28" si="10">C27/C6</f>
        <v>0.10047548834333889</v>
      </c>
      <c r="D28" s="26">
        <f t="shared" si="10"/>
        <v>6.7856834437115238E-2</v>
      </c>
      <c r="E28" s="26">
        <f t="shared" si="10"/>
        <v>6.9088858985929272E-2</v>
      </c>
      <c r="F28" s="26">
        <f t="shared" si="10"/>
        <v>4.0633221875720417E-2</v>
      </c>
      <c r="G28" s="26">
        <f t="shared" si="10"/>
        <v>1.4914659963839928E-2</v>
      </c>
      <c r="H28" s="26">
        <f t="shared" si="10"/>
        <v>6.824506920181464E-2</v>
      </c>
      <c r="I28" s="26">
        <f t="shared" si="10"/>
        <v>3.1726037535443119E-2</v>
      </c>
      <c r="J28" s="26">
        <f t="shared" si="10"/>
        <v>4.5048577903260424E-2</v>
      </c>
      <c r="K28" s="26">
        <f t="shared" si="10"/>
        <v>0.10329342697043427</v>
      </c>
      <c r="L28" s="26">
        <f t="shared" si="10"/>
        <v>0.10197523283184935</v>
      </c>
      <c r="M28" s="26">
        <f t="shared" si="10"/>
        <v>-6.7004974989187269E-2</v>
      </c>
    </row>
    <row r="30" spans="2:13" x14ac:dyDescent="0.35">
      <c r="B30" s="12" t="s">
        <v>24</v>
      </c>
      <c r="C30" s="19">
        <f>IFERROR('Data Sheet'!B48,0)</f>
        <v>262.83</v>
      </c>
      <c r="D30" s="19">
        <f>IFERROR('Data Sheet'!C48,0)</f>
        <v>-620.65</v>
      </c>
      <c r="E30" s="19">
        <f>IFERROR('Data Sheet'!D48,0)</f>
        <v>1563</v>
      </c>
      <c r="F30" s="19">
        <f>IFERROR('Data Sheet'!E48,0)</f>
        <v>2203</v>
      </c>
      <c r="G30" s="19">
        <f>IFERROR('Data Sheet'!F48,0)</f>
        <v>542</v>
      </c>
      <c r="H30" s="19">
        <f>IFERROR('Data Sheet'!G48,0)</f>
        <v>-8219</v>
      </c>
      <c r="I30" s="19">
        <f>IFERROR('Data Sheet'!H48,0)</f>
        <v>3178</v>
      </c>
      <c r="J30" s="19">
        <f>IFERROR('Data Sheet'!I48,0)</f>
        <v>2317</v>
      </c>
      <c r="K30" s="19">
        <f>IFERROR('Data Sheet'!J48,0)</f>
        <v>2120</v>
      </c>
      <c r="L30" s="19">
        <f>IFERROR('Data Sheet'!K48,0)</f>
        <v>2948</v>
      </c>
      <c r="M30" s="19">
        <f>IFERROR(SUM('Data Sheet'!H48:K48),0)</f>
        <v>10563</v>
      </c>
    </row>
    <row r="31" spans="2:13" x14ac:dyDescent="0.35">
      <c r="B31" s="14" t="s">
        <v>70</v>
      </c>
      <c r="C31" s="15">
        <f>C30/C27</f>
        <v>9.5803114266437214E-3</v>
      </c>
      <c r="D31" s="15">
        <f t="shared" ref="D31:M31" si="11">D30/D27</f>
        <v>-3.3914410988126996E-2</v>
      </c>
      <c r="E31" s="15">
        <f t="shared" si="11"/>
        <v>7.7595618106438585E-2</v>
      </c>
      <c r="F31" s="15">
        <f t="shared" si="11"/>
        <v>0.17956218777330626</v>
      </c>
      <c r="G31" s="15">
        <f t="shared" si="11"/>
        <v>0.13919778927201229</v>
      </c>
      <c r="H31" s="15">
        <f t="shared" si="11"/>
        <v>-0.48213026609554882</v>
      </c>
      <c r="I31" s="15">
        <f t="shared" si="11"/>
        <v>0.35973706819949164</v>
      </c>
      <c r="J31" s="15">
        <f t="shared" si="11"/>
        <v>0.1486655391098807</v>
      </c>
      <c r="K31" s="15">
        <f t="shared" si="11"/>
        <v>4.7288706475429945E-2</v>
      </c>
      <c r="L31" s="15">
        <f t="shared" si="11"/>
        <v>6.574780320264062E-2</v>
      </c>
      <c r="M31" s="15">
        <f t="shared" si="11"/>
        <v>-0.35697870902331869</v>
      </c>
    </row>
    <row r="33" spans="2:13" x14ac:dyDescent="0.35">
      <c r="B33" s="12" t="s">
        <v>72</v>
      </c>
      <c r="C33" s="19">
        <f>C27-C30</f>
        <v>27171.559999999969</v>
      </c>
      <c r="D33" s="19">
        <f t="shared" ref="D33:M33" si="12">D27-D30</f>
        <v>18921.130000000048</v>
      </c>
      <c r="E33" s="19">
        <f t="shared" si="12"/>
        <v>18579.889999999992</v>
      </c>
      <c r="F33" s="19">
        <f t="shared" si="12"/>
        <v>10065.730000000023</v>
      </c>
      <c r="G33" s="19">
        <f t="shared" si="12"/>
        <v>3351.7399999999634</v>
      </c>
      <c r="H33" s="19">
        <f t="shared" si="12"/>
        <v>25266.259999999987</v>
      </c>
      <c r="I33" s="19">
        <f t="shared" si="12"/>
        <v>5656.2300000000141</v>
      </c>
      <c r="J33" s="19">
        <f t="shared" si="12"/>
        <v>13268.31999999996</v>
      </c>
      <c r="K33" s="19">
        <f t="shared" si="12"/>
        <v>42711</v>
      </c>
      <c r="L33" s="19">
        <f t="shared" si="12"/>
        <v>41890</v>
      </c>
      <c r="M33" s="19">
        <f t="shared" si="12"/>
        <v>-40153</v>
      </c>
    </row>
    <row r="34" spans="2:13" s="14" customFormat="1" x14ac:dyDescent="0.35">
      <c r="B34" s="14" t="s">
        <v>73</v>
      </c>
      <c r="C34" s="15">
        <f t="shared" ref="C34:M34" si="13">C33/C6</f>
        <v>9.9512901874265577E-2</v>
      </c>
      <c r="D34" s="15">
        <f t="shared" si="13"/>
        <v>7.0158159008568866E-2</v>
      </c>
      <c r="E34" s="15">
        <f t="shared" si="13"/>
        <v>6.3727866268647515E-2</v>
      </c>
      <c r="F34" s="15">
        <f t="shared" si="13"/>
        <v>3.3337031659437896E-2</v>
      </c>
      <c r="G34" s="15">
        <f t="shared" si="13"/>
        <v>1.2838572269129619E-2</v>
      </c>
      <c r="H34" s="15">
        <f t="shared" si="13"/>
        <v>0.10114808257579468</v>
      </c>
      <c r="I34" s="15">
        <f t="shared" si="13"/>
        <v>2.0313005806855786E-2</v>
      </c>
      <c r="J34" s="15">
        <f t="shared" si="13"/>
        <v>3.8351406783138753E-2</v>
      </c>
      <c r="K34" s="15">
        <f t="shared" si="13"/>
        <v>9.8408814421588151E-2</v>
      </c>
      <c r="L34" s="15">
        <f t="shared" si="13"/>
        <v>9.5270585292077464E-2</v>
      </c>
      <c r="M34" s="15">
        <f t="shared" si="13"/>
        <v>-9.0924324458967101E-2</v>
      </c>
    </row>
    <row r="36" spans="2:13" x14ac:dyDescent="0.35">
      <c r="B36" s="12" t="s">
        <v>43</v>
      </c>
      <c r="C36" s="12">
        <f>IFERROR('Data Sheet'!B93,0)</f>
        <v>288.72000000000003</v>
      </c>
      <c r="D36" s="12">
        <f>IFERROR('Data Sheet'!C93,0)</f>
        <v>288.73</v>
      </c>
      <c r="E36" s="12">
        <f>IFERROR('Data Sheet'!D93,0)</f>
        <v>288.73</v>
      </c>
      <c r="F36" s="12">
        <f>IFERROR('Data Sheet'!E93,0)</f>
        <v>288.73</v>
      </c>
      <c r="G36" s="12">
        <f>IFERROR('Data Sheet'!F93,0)</f>
        <v>308.89999999999998</v>
      </c>
      <c r="H36" s="12">
        <f>IFERROR('Data Sheet'!G93,0)</f>
        <v>332.03</v>
      </c>
      <c r="I36" s="12">
        <f>IFERROR('Data Sheet'!H93,0)</f>
        <v>332.07</v>
      </c>
      <c r="J36" s="12">
        <f>IFERROR('Data Sheet'!I93,0)</f>
        <v>332.13</v>
      </c>
      <c r="K36" s="12">
        <f>IFERROR('Data Sheet'!J93,0)</f>
        <v>332.37</v>
      </c>
      <c r="L36" s="12">
        <f>IFERROR('Data Sheet'!K93,0)</f>
        <v>368.13</v>
      </c>
      <c r="M36" s="12">
        <f>IFERROR('Data Sheet'!L93,0)</f>
        <v>0</v>
      </c>
    </row>
    <row r="37" spans="2:13" s="14" customFormat="1" x14ac:dyDescent="0.35">
      <c r="B37"/>
      <c r="C37"/>
      <c r="D37"/>
      <c r="E37"/>
      <c r="F37"/>
      <c r="G37"/>
      <c r="H37"/>
      <c r="I37"/>
      <c r="J37"/>
      <c r="K37"/>
      <c r="L37"/>
      <c r="M37"/>
    </row>
    <row r="38" spans="2:13" x14ac:dyDescent="0.35">
      <c r="B38" s="12" t="s">
        <v>74</v>
      </c>
      <c r="C38" s="19">
        <f>IFERROR(C33/C36,0)</f>
        <v>94.110418398448203</v>
      </c>
      <c r="D38" s="19">
        <f t="shared" ref="D38:M38" si="14">IFERROR(D33/D36,0)</f>
        <v>65.532261974855558</v>
      </c>
      <c r="E38" s="19">
        <f t="shared" si="14"/>
        <v>64.350396564264159</v>
      </c>
      <c r="F38" s="19">
        <f t="shared" si="14"/>
        <v>34.862085685588688</v>
      </c>
      <c r="G38" s="19">
        <f t="shared" si="14"/>
        <v>10.850566526383826</v>
      </c>
      <c r="H38" s="19">
        <f t="shared" si="14"/>
        <v>76.096316597897754</v>
      </c>
      <c r="I38" s="19">
        <f t="shared" si="14"/>
        <v>17.033246002348946</v>
      </c>
      <c r="J38" s="19">
        <f t="shared" si="14"/>
        <v>39.949176527263297</v>
      </c>
      <c r="K38" s="19">
        <f t="shared" si="14"/>
        <v>128.50437765141257</v>
      </c>
      <c r="L38" s="19">
        <f t="shared" si="14"/>
        <v>113.79132371716513</v>
      </c>
      <c r="M38" s="19">
        <f t="shared" si="14"/>
        <v>0</v>
      </c>
    </row>
    <row r="39" spans="2:13" s="12" customFormat="1" x14ac:dyDescent="0.35">
      <c r="B39" s="14" t="s">
        <v>75</v>
      </c>
      <c r="C39" s="14"/>
      <c r="D39" s="15">
        <f>IFERROR(D38/C38-1,0)</f>
        <v>-0.30366623493902001</v>
      </c>
      <c r="E39" s="15">
        <f t="shared" ref="E39:M39" si="15">IFERROR(E38/D38-1,0)</f>
        <v>-1.8034863668293322E-2</v>
      </c>
      <c r="F39" s="15">
        <f t="shared" si="15"/>
        <v>-0.45824598530992233</v>
      </c>
      <c r="G39" s="15">
        <f t="shared" si="15"/>
        <v>-0.68875739035690453</v>
      </c>
      <c r="H39" s="15">
        <f t="shared" si="15"/>
        <v>6.0131192148230079</v>
      </c>
      <c r="I39" s="15">
        <f t="shared" si="15"/>
        <v>-0.77616201724513556</v>
      </c>
      <c r="J39" s="15">
        <f t="shared" si="15"/>
        <v>1.3453648542241545</v>
      </c>
      <c r="K39" s="15">
        <f t="shared" si="15"/>
        <v>2.2166965334996283</v>
      </c>
      <c r="L39" s="15">
        <f t="shared" si="15"/>
        <v>-0.11449457367249238</v>
      </c>
      <c r="M39" s="15">
        <f t="shared" si="15"/>
        <v>-1</v>
      </c>
    </row>
    <row r="41" spans="2:13" x14ac:dyDescent="0.35">
      <c r="B41" s="12" t="s">
        <v>76</v>
      </c>
      <c r="C41" s="19">
        <f>IFERROR('Data Sheet'!B31/'Historical FS'!C36,0)</f>
        <v>0.23524522028262676</v>
      </c>
      <c r="D41" s="19">
        <f>IFERROR('Data Sheet'!C31/'Historical FS'!D36,0)</f>
        <v>0</v>
      </c>
      <c r="E41" s="19">
        <f>IFERROR('Data Sheet'!D31/'Historical FS'!E36,0)</f>
        <v>0</v>
      </c>
      <c r="F41" s="19">
        <f>IFERROR('Data Sheet'!E31/'Historical FS'!F36,0)</f>
        <v>0</v>
      </c>
      <c r="G41" s="19">
        <f>IFERROR('Data Sheet'!F31/'Historical FS'!G36,0)</f>
        <v>0</v>
      </c>
      <c r="H41" s="19">
        <f>IFERROR('Data Sheet'!G31/'Historical FS'!H36,0)</f>
        <v>0</v>
      </c>
      <c r="I41" s="19">
        <f>IFERROR('Data Sheet'!H31/'Historical FS'!I36,0)</f>
        <v>0</v>
      </c>
      <c r="J41" s="19">
        <f>IFERROR('Data Sheet'!I31/'Historical FS'!J36,0)</f>
        <v>2.3063860536536898</v>
      </c>
      <c r="K41" s="19">
        <f>IFERROR('Data Sheet'!J31/'Historical FS'!K36,0)</f>
        <v>6.9230074916508713</v>
      </c>
      <c r="L41" s="19">
        <f>IFERROR('Data Sheet'!K31/'Historical FS'!L36,0)</f>
        <v>5.9978811832776469</v>
      </c>
      <c r="M41" s="19">
        <f>IFERROR('Data Sheet'!L31/'Historical FS'!M36,0)</f>
        <v>0</v>
      </c>
    </row>
    <row r="42" spans="2:13" s="14" customFormat="1" x14ac:dyDescent="0.35">
      <c r="B42" t="s">
        <v>77</v>
      </c>
      <c r="C42" s="15">
        <f>IFERROR(C41/C38,0)</f>
        <v>2.4996724516369354E-3</v>
      </c>
      <c r="D42" s="15">
        <f t="shared" ref="D42:M42" si="16">IFERROR(D41/D38,0)</f>
        <v>0</v>
      </c>
      <c r="E42" s="15">
        <f t="shared" si="16"/>
        <v>0</v>
      </c>
      <c r="F42" s="15">
        <f t="shared" si="16"/>
        <v>0</v>
      </c>
      <c r="G42" s="15">
        <f t="shared" si="16"/>
        <v>0</v>
      </c>
      <c r="H42" s="15">
        <f t="shared" si="16"/>
        <v>0</v>
      </c>
      <c r="I42" s="15">
        <f t="shared" si="16"/>
        <v>0</v>
      </c>
      <c r="J42" s="15">
        <f t="shared" si="16"/>
        <v>5.7733006137928713E-2</v>
      </c>
      <c r="K42" s="15">
        <f t="shared" si="16"/>
        <v>5.3873709348879688E-2</v>
      </c>
      <c r="L42" s="15">
        <f t="shared" si="16"/>
        <v>5.2709477202196237E-2</v>
      </c>
      <c r="M42" s="15">
        <f t="shared" si="16"/>
        <v>0</v>
      </c>
    </row>
    <row r="44" spans="2:13" s="12" customFormat="1" x14ac:dyDescent="0.35">
      <c r="B44" s="12" t="s">
        <v>78</v>
      </c>
      <c r="C44" s="25">
        <f>IFERROR(IF(C38&gt;C41,1-C42,0),0)</f>
        <v>0.99750032754836304</v>
      </c>
      <c r="D44" s="25">
        <f t="shared" ref="D44:M44" si="17">IFERROR(IF(D38&gt;D41,1-D42,0),0)</f>
        <v>1</v>
      </c>
      <c r="E44" s="25">
        <f t="shared" si="17"/>
        <v>1</v>
      </c>
      <c r="F44" s="25">
        <f t="shared" si="17"/>
        <v>1</v>
      </c>
      <c r="G44" s="25">
        <f t="shared" si="17"/>
        <v>1</v>
      </c>
      <c r="H44" s="25">
        <f t="shared" si="17"/>
        <v>1</v>
      </c>
      <c r="I44" s="25">
        <f t="shared" si="17"/>
        <v>1</v>
      </c>
      <c r="J44" s="25">
        <f t="shared" si="17"/>
        <v>0.94226699386207124</v>
      </c>
      <c r="K44" s="25">
        <f t="shared" si="17"/>
        <v>0.94612629065112031</v>
      </c>
      <c r="L44" s="25">
        <f t="shared" si="17"/>
        <v>0.94729052279780379</v>
      </c>
      <c r="M44" s="25">
        <f t="shared" si="17"/>
        <v>0</v>
      </c>
    </row>
    <row r="46" spans="2:13" x14ac:dyDescent="0.35">
      <c r="B46" s="16" t="s">
        <v>79</v>
      </c>
      <c r="C46" s="17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2:13" s="12" customFormat="1" x14ac:dyDescent="0.35">
      <c r="B47" t="s">
        <v>31</v>
      </c>
      <c r="C47" s="27">
        <f>IFERROR('Data Sheet'!B57,0)</f>
        <v>679.18</v>
      </c>
      <c r="D47" s="27">
        <f>IFERROR('Data Sheet'!C57,0)</f>
        <v>679.22</v>
      </c>
      <c r="E47" s="27">
        <f>IFERROR('Data Sheet'!D57,0)</f>
        <v>679.22</v>
      </c>
      <c r="F47" s="27">
        <f>IFERROR('Data Sheet'!E57,0)</f>
        <v>679.22</v>
      </c>
      <c r="G47" s="27">
        <f>IFERROR('Data Sheet'!F57,0)</f>
        <v>719.54</v>
      </c>
      <c r="H47" s="27">
        <f>IFERROR('Data Sheet'!G57,0)</f>
        <v>765.81</v>
      </c>
      <c r="I47" s="27">
        <f>IFERROR('Data Sheet'!H57,0)</f>
        <v>765.88</v>
      </c>
      <c r="J47" s="27">
        <f>IFERROR('Data Sheet'!I57,0)</f>
        <v>766.02</v>
      </c>
      <c r="K47" s="27">
        <f>IFERROR('Data Sheet'!J57,0)</f>
        <v>767</v>
      </c>
      <c r="L47" s="27">
        <f>IFERROR('Data Sheet'!K57,0)</f>
        <v>736</v>
      </c>
      <c r="M47"/>
    </row>
    <row r="48" spans="2:13" x14ac:dyDescent="0.35">
      <c r="B48" t="s">
        <v>32</v>
      </c>
      <c r="C48" s="27">
        <f>IFERROR('Data Sheet'!B58,0)</f>
        <v>78273.23</v>
      </c>
      <c r="D48" s="27">
        <f>IFERROR('Data Sheet'!C58,0)</f>
        <v>57382.67</v>
      </c>
      <c r="E48" s="27">
        <f>IFERROR('Data Sheet'!D58,0)</f>
        <v>94748.69</v>
      </c>
      <c r="F48" s="27">
        <f>IFERROR('Data Sheet'!E58,0)</f>
        <v>59500.34</v>
      </c>
      <c r="G48" s="27">
        <f>IFERROR('Data Sheet'!F58,0)</f>
        <v>62358.99</v>
      </c>
      <c r="H48" s="27">
        <f>IFERROR('Data Sheet'!G58,0)</f>
        <v>54480.91</v>
      </c>
      <c r="I48" s="27">
        <f>IFERROR('Data Sheet'!H58,0)</f>
        <v>43795.360000000001</v>
      </c>
      <c r="J48" s="27">
        <f>IFERROR('Data Sheet'!I58,0)</f>
        <v>44555.77</v>
      </c>
      <c r="K48" s="27">
        <f>IFERROR('Data Sheet'!J58,0)</f>
        <v>84151</v>
      </c>
      <c r="L48" s="27">
        <f>IFERROR('Data Sheet'!K58,0)</f>
        <v>115408</v>
      </c>
    </row>
    <row r="49" spans="1:13" x14ac:dyDescent="0.35">
      <c r="A49" t="s">
        <v>57</v>
      </c>
      <c r="B49" t="s">
        <v>33</v>
      </c>
      <c r="C49" s="27">
        <f>IFERROR('Data Sheet'!B59,0)</f>
        <v>69359.960000000006</v>
      </c>
      <c r="D49" s="27">
        <f>IFERROR('Data Sheet'!C59,0)</f>
        <v>78603.98</v>
      </c>
      <c r="E49" s="27">
        <f>IFERROR('Data Sheet'!D59,0)</f>
        <v>88950.47</v>
      </c>
      <c r="F49" s="27">
        <f>IFERROR('Data Sheet'!E59,0)</f>
        <v>106175.34</v>
      </c>
      <c r="G49" s="27">
        <f>IFERROR('Data Sheet'!F59,0)</f>
        <v>124787.64</v>
      </c>
      <c r="H49" s="27">
        <f>IFERROR('Data Sheet'!G59,0)</f>
        <v>142130.57</v>
      </c>
      <c r="I49" s="27">
        <f>IFERROR('Data Sheet'!H59,0)</f>
        <v>146449.03</v>
      </c>
      <c r="J49" s="27">
        <f>IFERROR('Data Sheet'!I59,0)</f>
        <v>134113.44</v>
      </c>
      <c r="K49" s="27">
        <f>IFERROR('Data Sheet'!J59,0)</f>
        <v>107264</v>
      </c>
      <c r="L49" s="27">
        <f>IFERROR('Data Sheet'!K59,0)</f>
        <v>71540</v>
      </c>
    </row>
    <row r="50" spans="1:13" x14ac:dyDescent="0.35">
      <c r="B50" t="s">
        <v>34</v>
      </c>
      <c r="C50" s="27">
        <f>IFERROR('Data Sheet'!B60,0)</f>
        <v>114871.75</v>
      </c>
      <c r="D50" s="27">
        <f>IFERROR('Data Sheet'!C60,0)</f>
        <v>135914.49</v>
      </c>
      <c r="E50" s="27">
        <f>IFERROR('Data Sheet'!D60,0)</f>
        <v>142813.43</v>
      </c>
      <c r="F50" s="27">
        <f>IFERROR('Data Sheet'!E60,0)</f>
        <v>139348.59</v>
      </c>
      <c r="G50" s="27">
        <f>IFERROR('Data Sheet'!F60,0)</f>
        <v>132313.22</v>
      </c>
      <c r="H50" s="27">
        <f>IFERROR('Data Sheet'!G60,0)</f>
        <v>144192.62</v>
      </c>
      <c r="I50" s="27">
        <f>IFERROR('Data Sheet'!H60,0)</f>
        <v>138051.22</v>
      </c>
      <c r="J50" s="27">
        <f>IFERROR('Data Sheet'!I60,0)</f>
        <v>155239.20000000001</v>
      </c>
      <c r="K50" s="27">
        <f>IFERROR('Data Sheet'!J60,0)</f>
        <v>177339</v>
      </c>
      <c r="L50" s="27">
        <f>IFERROR('Data Sheet'!K60,0)</f>
        <v>189289</v>
      </c>
    </row>
    <row r="51" spans="1:13" x14ac:dyDescent="0.35">
      <c r="B51" s="12" t="s">
        <v>80</v>
      </c>
      <c r="C51" s="19">
        <f>IFERROR('Data Sheet'!B61,0)</f>
        <v>263184.12</v>
      </c>
      <c r="D51" s="19">
        <f>IFERROR('Data Sheet'!C61,0)</f>
        <v>272580.36</v>
      </c>
      <c r="E51" s="19">
        <f>IFERROR('Data Sheet'!D61,0)</f>
        <v>327191.81</v>
      </c>
      <c r="F51" s="19">
        <f>IFERROR('Data Sheet'!E61,0)</f>
        <v>305703.49</v>
      </c>
      <c r="G51" s="19">
        <f>IFERROR('Data Sheet'!F61,0)</f>
        <v>320179.39</v>
      </c>
      <c r="H51" s="19">
        <f>IFERROR('Data Sheet'!G61,0)</f>
        <v>341569.91</v>
      </c>
      <c r="I51" s="19">
        <f>IFERROR('Data Sheet'!H61,0)</f>
        <v>329061.49</v>
      </c>
      <c r="J51" s="19">
        <f>IFERROR('Data Sheet'!I61,0)</f>
        <v>334674.43</v>
      </c>
      <c r="K51" s="19">
        <f>IFERROR('Data Sheet'!J61,0)</f>
        <v>369521</v>
      </c>
      <c r="L51" s="19">
        <f>IFERROR('Data Sheet'!K61,0)</f>
        <v>376973</v>
      </c>
    </row>
    <row r="52" spans="1:13" x14ac:dyDescent="0.35">
      <c r="B52" s="12"/>
    </row>
    <row r="53" spans="1:13" x14ac:dyDescent="0.35">
      <c r="B53" t="s">
        <v>81</v>
      </c>
      <c r="C53" s="27">
        <f>IFERROR('Data Sheet'!B62,0)</f>
        <v>107231.76</v>
      </c>
      <c r="D53" s="27">
        <f>IFERROR('Data Sheet'!C62,0)</f>
        <v>95944.08</v>
      </c>
      <c r="E53" s="27">
        <f>IFERROR('Data Sheet'!D62,0)</f>
        <v>121413.86</v>
      </c>
      <c r="F53" s="27">
        <f>IFERROR('Data Sheet'!E62,0)</f>
        <v>111234.47</v>
      </c>
      <c r="G53" s="27">
        <f>IFERROR('Data Sheet'!F62,0)</f>
        <v>127107.14</v>
      </c>
      <c r="H53" s="27">
        <f>IFERROR('Data Sheet'!G62,0)</f>
        <v>138707.60999999999</v>
      </c>
      <c r="I53" s="27">
        <f>IFERROR('Data Sheet'!H62,0)</f>
        <v>138855.45000000001</v>
      </c>
      <c r="J53" s="27">
        <f>IFERROR('Data Sheet'!I62,0)</f>
        <v>132079.76</v>
      </c>
      <c r="K53" s="27">
        <f>IFERROR('Data Sheet'!J62,0)</f>
        <v>121285</v>
      </c>
      <c r="L53" s="27">
        <f>IFERROR('Data Sheet'!K62,0)</f>
        <v>115697</v>
      </c>
    </row>
    <row r="54" spans="1:13" x14ac:dyDescent="0.35">
      <c r="B54" t="s">
        <v>37</v>
      </c>
      <c r="C54" s="27">
        <f>IFERROR('Data Sheet'!B63,0)</f>
        <v>25918.94</v>
      </c>
      <c r="D54" s="27">
        <f>IFERROR('Data Sheet'!C63,0)</f>
        <v>33698.839999999997</v>
      </c>
      <c r="E54" s="27">
        <f>IFERROR('Data Sheet'!D63,0)</f>
        <v>40033.5</v>
      </c>
      <c r="F54" s="27">
        <f>IFERROR('Data Sheet'!E63,0)</f>
        <v>31883.84</v>
      </c>
      <c r="G54" s="27">
        <f>IFERROR('Data Sheet'!F63,0)</f>
        <v>35622.29</v>
      </c>
      <c r="H54" s="27">
        <f>IFERROR('Data Sheet'!G63,0)</f>
        <v>20963.93</v>
      </c>
      <c r="I54" s="27">
        <f>IFERROR('Data Sheet'!H63,0)</f>
        <v>10251.09</v>
      </c>
      <c r="J54" s="27">
        <f>IFERROR('Data Sheet'!I63,0)</f>
        <v>14274.5</v>
      </c>
      <c r="K54" s="27">
        <f>IFERROR('Data Sheet'!J63,0)</f>
        <v>35698</v>
      </c>
      <c r="L54" s="27">
        <f>IFERROR('Data Sheet'!K63,0)</f>
        <v>65806</v>
      </c>
    </row>
    <row r="55" spans="1:13" x14ac:dyDescent="0.35">
      <c r="B55" t="s">
        <v>38</v>
      </c>
      <c r="C55" s="27">
        <f>IFERROR('Data Sheet'!B64,0)</f>
        <v>23767.02</v>
      </c>
      <c r="D55" s="27">
        <f>IFERROR('Data Sheet'!C64,0)</f>
        <v>20337.919999999998</v>
      </c>
      <c r="E55" s="27">
        <f>IFERROR('Data Sheet'!D64,0)</f>
        <v>20812.75</v>
      </c>
      <c r="F55" s="27">
        <f>IFERROR('Data Sheet'!E64,0)</f>
        <v>15770.72</v>
      </c>
      <c r="G55" s="27">
        <f>IFERROR('Data Sheet'!F64,0)</f>
        <v>16308.48</v>
      </c>
      <c r="H55" s="27">
        <f>IFERROR('Data Sheet'!G64,0)</f>
        <v>24620.28</v>
      </c>
      <c r="I55" s="27">
        <f>IFERROR('Data Sheet'!H64,0)</f>
        <v>29379.53</v>
      </c>
      <c r="J55" s="27">
        <f>IFERROR('Data Sheet'!I64,0)</f>
        <v>26379.16</v>
      </c>
      <c r="K55" s="27">
        <f>IFERROR('Data Sheet'!J64,0)</f>
        <v>22971</v>
      </c>
      <c r="L55" s="27">
        <f>IFERROR('Data Sheet'!K64,0)</f>
        <v>35656</v>
      </c>
    </row>
    <row r="56" spans="1:13" x14ac:dyDescent="0.35">
      <c r="B56" t="s">
        <v>39</v>
      </c>
      <c r="C56" s="27">
        <f>IFERROR('Data Sheet'!B65-SUM('Data Sheet'!B67:B69),0)</f>
        <v>29579.359999999986</v>
      </c>
      <c r="D56" s="27">
        <f>IFERROR('Data Sheet'!C65-SUM('Data Sheet'!C67:C69),0)</f>
        <v>37360.780000000013</v>
      </c>
      <c r="E56" s="27">
        <f>IFERROR('Data Sheet'!D65-SUM('Data Sheet'!D67:D69),0)</f>
        <v>48286.860000000015</v>
      </c>
      <c r="F56" s="27">
        <f>IFERROR('Data Sheet'!E65-SUM('Data Sheet'!E67:E69),0)</f>
        <v>56155.739999999991</v>
      </c>
      <c r="G56" s="27">
        <f>IFERROR('Data Sheet'!F65-SUM('Data Sheet'!F67:F69),0)</f>
        <v>58784.94</v>
      </c>
      <c r="H56" s="27">
        <f>IFERROR('Data Sheet'!G65-SUM('Data Sheet'!G67:G69),0)</f>
        <v>61717.959999999992</v>
      </c>
      <c r="I56" s="27">
        <f>IFERROR('Data Sheet'!H65-SUM('Data Sheet'!H67:H69),0)</f>
        <v>62223.770000000019</v>
      </c>
      <c r="J56" s="27">
        <f>IFERROR('Data Sheet'!I65-SUM('Data Sheet'!I67:I69),0)</f>
        <v>68432.090000000011</v>
      </c>
      <c r="K56" s="27">
        <f>IFERROR('Data Sheet'!J65-SUM('Data Sheet'!J67:J69),0)</f>
        <v>79020</v>
      </c>
      <c r="L56" s="27">
        <f>IFERROR('Data Sheet'!K65-SUM('Data Sheet'!K67:K69),0)</f>
        <v>58463</v>
      </c>
    </row>
    <row r="57" spans="1:13" x14ac:dyDescent="0.35">
      <c r="B57" s="12" t="s">
        <v>82</v>
      </c>
      <c r="C57" s="19">
        <f>IFERROR(SUM(C53:C56),0)</f>
        <v>186497.07999999996</v>
      </c>
      <c r="D57" s="19">
        <f t="shared" ref="D57:L57" si="18">IFERROR(SUM(D53:D56),0)</f>
        <v>187341.62</v>
      </c>
      <c r="E57" s="19">
        <f t="shared" si="18"/>
        <v>230546.97</v>
      </c>
      <c r="F57" s="19">
        <f t="shared" si="18"/>
        <v>215044.77</v>
      </c>
      <c r="G57" s="19">
        <f t="shared" si="18"/>
        <v>237822.85</v>
      </c>
      <c r="H57" s="19">
        <f t="shared" si="18"/>
        <v>246009.77999999997</v>
      </c>
      <c r="I57" s="19">
        <f t="shared" si="18"/>
        <v>240709.84000000003</v>
      </c>
      <c r="J57" s="19">
        <f t="shared" si="18"/>
        <v>241165.51</v>
      </c>
      <c r="K57" s="19">
        <f t="shared" si="18"/>
        <v>258974</v>
      </c>
      <c r="L57" s="19">
        <f t="shared" si="18"/>
        <v>275622</v>
      </c>
      <c r="M57" s="12"/>
    </row>
    <row r="58" spans="1:13" x14ac:dyDescent="0.35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spans="1:13" x14ac:dyDescent="0.35">
      <c r="B59" t="s">
        <v>40</v>
      </c>
      <c r="C59" s="27">
        <f>IFERROR('Data Sheet'!B67,0)</f>
        <v>13570.91</v>
      </c>
      <c r="D59" s="27">
        <f>IFERROR('Data Sheet'!C67,0)</f>
        <v>14075.55</v>
      </c>
      <c r="E59" s="27">
        <f>IFERROR('Data Sheet'!D67,0)</f>
        <v>19893.3</v>
      </c>
      <c r="F59" s="27">
        <f>IFERROR('Data Sheet'!E67,0)</f>
        <v>18996.169999999998</v>
      </c>
      <c r="G59" s="27">
        <f>IFERROR('Data Sheet'!F67,0)</f>
        <v>11172.69</v>
      </c>
      <c r="H59" s="27">
        <f>IFERROR('Data Sheet'!G67,0)</f>
        <v>12679.08</v>
      </c>
      <c r="I59" s="27">
        <f>IFERROR('Data Sheet'!H67,0)</f>
        <v>12442.12</v>
      </c>
      <c r="J59" s="27">
        <f>IFERROR('Data Sheet'!I67,0)</f>
        <v>15737.97</v>
      </c>
      <c r="K59" s="27">
        <f>IFERROR('Data Sheet'!J67,0)</f>
        <v>16952</v>
      </c>
      <c r="L59" s="27">
        <f>IFERROR('Data Sheet'!K67,0)</f>
        <v>13248</v>
      </c>
    </row>
    <row r="60" spans="1:13" s="12" customFormat="1" x14ac:dyDescent="0.35">
      <c r="B60" t="s">
        <v>41</v>
      </c>
      <c r="C60" s="27">
        <f>IFERROR('Data Sheet'!B68,0)</f>
        <v>32655.73</v>
      </c>
      <c r="D60" s="27">
        <f>IFERROR('Data Sheet'!C68,0)</f>
        <v>35085.31</v>
      </c>
      <c r="E60" s="27">
        <f>IFERROR('Data Sheet'!D68,0)</f>
        <v>42137.63</v>
      </c>
      <c r="F60" s="27">
        <f>IFERROR('Data Sheet'!E68,0)</f>
        <v>39013.730000000003</v>
      </c>
      <c r="G60" s="27">
        <f>IFERROR('Data Sheet'!F68,0)</f>
        <v>37456.879999999997</v>
      </c>
      <c r="H60" s="27">
        <f>IFERROR('Data Sheet'!G68,0)</f>
        <v>36088.589999999997</v>
      </c>
      <c r="I60" s="27">
        <f>IFERROR('Data Sheet'!H68,0)</f>
        <v>35240.339999999997</v>
      </c>
      <c r="J60" s="27">
        <f>IFERROR('Data Sheet'!I68,0)</f>
        <v>40755.39</v>
      </c>
      <c r="K60" s="27">
        <f>IFERROR('Data Sheet'!J68,0)</f>
        <v>47788</v>
      </c>
      <c r="L60" s="27">
        <f>IFERROR('Data Sheet'!K68,0)</f>
        <v>47269</v>
      </c>
      <c r="M60"/>
    </row>
    <row r="61" spans="1:13" s="12" customFormat="1" x14ac:dyDescent="0.35">
      <c r="B61" t="s">
        <v>42</v>
      </c>
      <c r="C61" s="27">
        <f>IFERROR('Data Sheet'!B69,0)</f>
        <v>30460.400000000001</v>
      </c>
      <c r="D61" s="27">
        <f>IFERROR('Data Sheet'!C69,0)</f>
        <v>36077.879999999997</v>
      </c>
      <c r="E61" s="27">
        <f>IFERROR('Data Sheet'!D69,0)</f>
        <v>34613.910000000003</v>
      </c>
      <c r="F61" s="27">
        <f>IFERROR('Data Sheet'!E69,0)</f>
        <v>32648.82</v>
      </c>
      <c r="G61" s="27">
        <f>IFERROR('Data Sheet'!F69,0)</f>
        <v>33726.97</v>
      </c>
      <c r="H61" s="27">
        <f>IFERROR('Data Sheet'!G69,0)</f>
        <v>46792.46</v>
      </c>
      <c r="I61" s="27">
        <f>IFERROR('Data Sheet'!H69,0)</f>
        <v>40669.19</v>
      </c>
      <c r="J61" s="27">
        <f>IFERROR('Data Sheet'!I69,0)</f>
        <v>37015.56</v>
      </c>
      <c r="K61" s="27">
        <f>IFERROR('Data Sheet'!J69,0)</f>
        <v>45807</v>
      </c>
      <c r="L61" s="27">
        <f>IFERROR('Data Sheet'!K69,0)</f>
        <v>40834</v>
      </c>
      <c r="M61"/>
    </row>
    <row r="62" spans="1:13" x14ac:dyDescent="0.35">
      <c r="B62" s="12" t="s">
        <v>83</v>
      </c>
      <c r="C62" s="19">
        <f>IFERROR(SUM(C59:C61),0)</f>
        <v>76687.040000000008</v>
      </c>
      <c r="D62" s="19">
        <f t="shared" ref="D62:L62" si="19">IFERROR(SUM(D59:D61),0)</f>
        <v>85238.739999999991</v>
      </c>
      <c r="E62" s="19">
        <f t="shared" si="19"/>
        <v>96644.84</v>
      </c>
      <c r="F62" s="19">
        <f t="shared" si="19"/>
        <v>90658.72</v>
      </c>
      <c r="G62" s="19">
        <f t="shared" si="19"/>
        <v>82356.540000000008</v>
      </c>
      <c r="H62" s="19">
        <f t="shared" si="19"/>
        <v>95560.13</v>
      </c>
      <c r="I62" s="19">
        <f t="shared" si="19"/>
        <v>88351.65</v>
      </c>
      <c r="J62" s="19">
        <f t="shared" si="19"/>
        <v>93508.92</v>
      </c>
      <c r="K62" s="19">
        <f t="shared" si="19"/>
        <v>110547</v>
      </c>
      <c r="L62" s="19">
        <f t="shared" si="19"/>
        <v>101351</v>
      </c>
      <c r="M62" s="12"/>
    </row>
    <row r="64" spans="1:13" x14ac:dyDescent="0.35">
      <c r="B64" s="12" t="s">
        <v>84</v>
      </c>
      <c r="C64" s="19">
        <f>IFERROR(C62+C57,0)</f>
        <v>263184.12</v>
      </c>
      <c r="D64" s="19">
        <f t="shared" ref="D64:L64" si="20">IFERROR(D62+D57,0)</f>
        <v>272580.36</v>
      </c>
      <c r="E64" s="19">
        <f t="shared" si="20"/>
        <v>327191.81</v>
      </c>
      <c r="F64" s="19">
        <f t="shared" si="20"/>
        <v>305703.49</v>
      </c>
      <c r="G64" s="19">
        <f t="shared" si="20"/>
        <v>320179.39</v>
      </c>
      <c r="H64" s="19">
        <f t="shared" si="20"/>
        <v>341569.91</v>
      </c>
      <c r="I64" s="19">
        <f t="shared" si="20"/>
        <v>329061.49</v>
      </c>
      <c r="J64" s="19">
        <f t="shared" si="20"/>
        <v>334674.43</v>
      </c>
      <c r="K64" s="19">
        <f t="shared" si="20"/>
        <v>369521</v>
      </c>
      <c r="L64" s="19">
        <f t="shared" si="20"/>
        <v>376973</v>
      </c>
      <c r="M64" s="12"/>
    </row>
    <row r="65" spans="1:13" s="12" customFormat="1" x14ac:dyDescent="0.35">
      <c r="B65"/>
      <c r="C65"/>
      <c r="D65"/>
      <c r="E65"/>
      <c r="F65"/>
      <c r="G65"/>
      <c r="H65"/>
      <c r="I65"/>
      <c r="J65"/>
      <c r="K65"/>
      <c r="L65"/>
      <c r="M65"/>
    </row>
    <row r="66" spans="1:13" x14ac:dyDescent="0.35">
      <c r="B66" s="28" t="s">
        <v>85</v>
      </c>
      <c r="C66" s="14" t="b">
        <f>C64=C51</f>
        <v>1</v>
      </c>
      <c r="D66" s="14" t="b">
        <f t="shared" ref="D66:L66" si="21">D64=D51</f>
        <v>1</v>
      </c>
      <c r="E66" s="14" t="b">
        <f t="shared" si="21"/>
        <v>1</v>
      </c>
      <c r="F66" s="14" t="b">
        <f t="shared" si="21"/>
        <v>1</v>
      </c>
      <c r="G66" s="14" t="b">
        <f t="shared" si="21"/>
        <v>1</v>
      </c>
      <c r="H66" s="14" t="b">
        <f t="shared" si="21"/>
        <v>1</v>
      </c>
      <c r="I66" s="14" t="b">
        <f t="shared" si="21"/>
        <v>1</v>
      </c>
      <c r="J66" s="14" t="b">
        <f t="shared" si="21"/>
        <v>1</v>
      </c>
      <c r="K66" s="14" t="b">
        <f t="shared" si="21"/>
        <v>1</v>
      </c>
      <c r="L66" s="14" t="b">
        <f t="shared" si="21"/>
        <v>1</v>
      </c>
      <c r="M66" s="14"/>
    </row>
    <row r="67" spans="1:13" s="12" customFormat="1" x14ac:dyDescent="0.35">
      <c r="B67"/>
      <c r="C67"/>
      <c r="D67"/>
      <c r="E67"/>
      <c r="F67"/>
      <c r="G67"/>
      <c r="H67"/>
      <c r="I67"/>
      <c r="J67"/>
      <c r="K67"/>
      <c r="L67"/>
      <c r="M67"/>
    </row>
    <row r="68" spans="1:13" x14ac:dyDescent="0.35">
      <c r="B68" s="16" t="s">
        <v>86</v>
      </c>
      <c r="C68" s="17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spans="1:13" s="14" customFormat="1" x14ac:dyDescent="0.35">
      <c r="B69" s="12" t="s">
        <v>113</v>
      </c>
      <c r="C69"/>
      <c r="D69"/>
      <c r="E69"/>
      <c r="F69"/>
      <c r="G69"/>
      <c r="H69"/>
      <c r="I69"/>
      <c r="J69"/>
      <c r="K69"/>
      <c r="L69"/>
      <c r="M69"/>
    </row>
    <row r="70" spans="1:13" x14ac:dyDescent="0.35">
      <c r="B70" t="s">
        <v>87</v>
      </c>
      <c r="C70" s="27">
        <f>IFERROR('Cash Flow Data'!E3,0)</f>
        <v>37900</v>
      </c>
      <c r="D70" s="27">
        <f>IFERROR('Cash Flow Data'!F3,0)</f>
        <v>30199</v>
      </c>
      <c r="E70" s="27">
        <f>IFERROR('Cash Flow Data'!G3,0)</f>
        <v>23857</v>
      </c>
      <c r="F70" s="27">
        <f>IFERROR('Cash Flow Data'!H3,0)</f>
        <v>18891</v>
      </c>
      <c r="G70" s="27">
        <f>IFERROR('Cash Flow Data'!I3,0)</f>
        <v>26633</v>
      </c>
      <c r="H70" s="27">
        <f>IFERROR('Cash Flow Data'!J3,0)</f>
        <v>29001</v>
      </c>
      <c r="I70" s="27">
        <f>IFERROR('Cash Flow Data'!K3,0)</f>
        <v>14283</v>
      </c>
      <c r="J70" s="27">
        <f>IFERROR('Cash Flow Data'!L3,0)</f>
        <v>35388</v>
      </c>
      <c r="K70" s="27">
        <f>IFERROR('Cash Flow Data'!M3,0)</f>
        <v>67915</v>
      </c>
      <c r="L70" s="27">
        <f>IFERROR('Cash Flow Data'!N3,0)</f>
        <v>63102</v>
      </c>
    </row>
    <row r="71" spans="1:13" x14ac:dyDescent="0.35">
      <c r="A71" t="s">
        <v>57</v>
      </c>
      <c r="B71" t="s">
        <v>40</v>
      </c>
      <c r="C71" s="27">
        <f>IFERROR('Cash Flow Data'!E4,0)</f>
        <v>38626</v>
      </c>
      <c r="D71" s="27">
        <f>IFERROR('Cash Flow Data'!F4,0)</f>
        <v>28840</v>
      </c>
      <c r="E71" s="27">
        <f>IFERROR('Cash Flow Data'!G4,0)</f>
        <v>33312</v>
      </c>
      <c r="F71" s="27">
        <f>IFERROR('Cash Flow Data'!H4,0)</f>
        <v>28771</v>
      </c>
      <c r="G71" s="27">
        <f>IFERROR('Cash Flow Data'!I4,0)</f>
        <v>23352</v>
      </c>
      <c r="H71" s="27">
        <f>IFERROR('Cash Flow Data'!J4,0)</f>
        <v>31198</v>
      </c>
      <c r="I71" s="27">
        <f>IFERROR('Cash Flow Data'!K4,0)</f>
        <v>26943</v>
      </c>
      <c r="J71" s="27">
        <f>IFERROR('Cash Flow Data'!L4,0)</f>
        <v>41694</v>
      </c>
      <c r="K71" s="27">
        <f>IFERROR('Cash Flow Data'!M4,0)</f>
        <v>65106</v>
      </c>
      <c r="L71" s="27">
        <f>IFERROR('Cash Flow Data'!N4,0)</f>
        <v>58937</v>
      </c>
    </row>
    <row r="72" spans="1:13" x14ac:dyDescent="0.35">
      <c r="B72" t="s">
        <v>41</v>
      </c>
      <c r="C72" s="27">
        <f>IFERROR('Cash Flow Data'!E5,0)</f>
        <v>-2223</v>
      </c>
      <c r="D72" s="27">
        <f>IFERROR('Cash Flow Data'!F5,0)</f>
        <v>-4152</v>
      </c>
      <c r="E72" s="27">
        <f>IFERROR('Cash Flow Data'!G5,0)</f>
        <v>-10688</v>
      </c>
      <c r="F72" s="27">
        <f>IFERROR('Cash Flow Data'!H5,0)</f>
        <v>-9109</v>
      </c>
      <c r="G72" s="27">
        <f>IFERROR('Cash Flow Data'!I5,0)</f>
        <v>9950</v>
      </c>
      <c r="H72" s="27">
        <f>IFERROR('Cash Flow Data'!J5,0)</f>
        <v>-5505</v>
      </c>
      <c r="I72" s="27">
        <f>IFERROR('Cash Flow Data'!K5,0)</f>
        <v>185</v>
      </c>
      <c r="J72" s="27">
        <f>IFERROR('Cash Flow Data'!L5,0)</f>
        <v>-2213</v>
      </c>
      <c r="K72" s="27">
        <f>IFERROR('Cash Flow Data'!M5,0)</f>
        <v>-1876</v>
      </c>
      <c r="L72" s="27">
        <f>IFERROR('Cash Flow Data'!N5,0)</f>
        <v>3573</v>
      </c>
    </row>
    <row r="73" spans="1:13" x14ac:dyDescent="0.35">
      <c r="B73" t="s">
        <v>88</v>
      </c>
      <c r="C73" s="27">
        <f>IFERROR('Cash Flow Data'!E6,0)</f>
        <v>-5743</v>
      </c>
      <c r="D73" s="27">
        <f>IFERROR('Cash Flow Data'!F6,0)</f>
        <v>-6621</v>
      </c>
      <c r="E73" s="27">
        <f>IFERROR('Cash Flow Data'!G6,0)</f>
        <v>-3560</v>
      </c>
      <c r="F73" s="27">
        <f>IFERROR('Cash Flow Data'!H6,0)</f>
        <v>2069</v>
      </c>
      <c r="G73" s="27">
        <f>IFERROR('Cash Flow Data'!I6,0)</f>
        <v>2326</v>
      </c>
      <c r="H73" s="27">
        <f>IFERROR('Cash Flow Data'!J6,0)</f>
        <v>3814</v>
      </c>
      <c r="I73" s="27">
        <f>IFERROR('Cash Flow Data'!K6,0)</f>
        <v>472</v>
      </c>
      <c r="J73" s="27">
        <f>IFERROR('Cash Flow Data'!L6,0)</f>
        <v>-5665</v>
      </c>
      <c r="K73" s="27">
        <f>IFERROR('Cash Flow Data'!M6,0)</f>
        <v>-7265</v>
      </c>
      <c r="L73" s="27">
        <f>IFERROR('Cash Flow Data'!N6,0)</f>
        <v>2127</v>
      </c>
    </row>
    <row r="74" spans="1:13" x14ac:dyDescent="0.35">
      <c r="B74" t="s">
        <v>89</v>
      </c>
      <c r="C74" s="27">
        <f>IFERROR('Cash Flow Data'!E7,0)</f>
        <v>3947</v>
      </c>
      <c r="D74" s="27">
        <f>IFERROR('Cash Flow Data'!F7,0)</f>
        <v>9301</v>
      </c>
      <c r="E74" s="27">
        <f>IFERROR('Cash Flow Data'!G7,0)</f>
        <v>7320</v>
      </c>
      <c r="F74" s="27">
        <f>IFERROR('Cash Flow Data'!H7,0)</f>
        <v>-4692</v>
      </c>
      <c r="G74" s="27">
        <f>IFERROR('Cash Flow Data'!I7,0)</f>
        <v>-8085</v>
      </c>
      <c r="H74" s="27">
        <f>IFERROR('Cash Flow Data'!J7,0)</f>
        <v>5748</v>
      </c>
      <c r="I74" s="27">
        <f>IFERROR('Cash Flow Data'!K7,0)</f>
        <v>-7012</v>
      </c>
      <c r="J74" s="27">
        <f>IFERROR('Cash Flow Data'!L7,0)</f>
        <v>6945</v>
      </c>
      <c r="K74" s="27">
        <f>IFERROR('Cash Flow Data'!M7,0)</f>
        <v>13706</v>
      </c>
      <c r="L74" s="27">
        <f>IFERROR('Cash Flow Data'!N7,0)</f>
        <v>1303</v>
      </c>
    </row>
    <row r="75" spans="1:13" x14ac:dyDescent="0.35">
      <c r="B75" t="s">
        <v>90</v>
      </c>
      <c r="C75" s="27">
        <f>IFERROR('Cash Flow Data'!E8,0)</f>
        <v>-520</v>
      </c>
      <c r="D75" s="27">
        <f>IFERROR('Cash Flow Data'!F8,0)</f>
        <v>0</v>
      </c>
      <c r="E75" s="27">
        <f>IFERROR('Cash Flow Data'!G8,0)</f>
        <v>0</v>
      </c>
      <c r="F75" s="27">
        <f>IFERROR('Cash Flow Data'!H8,0)</f>
        <v>0</v>
      </c>
      <c r="G75" s="27">
        <f>IFERROR('Cash Flow Data'!I8,0)</f>
        <v>0</v>
      </c>
      <c r="H75" s="27">
        <f>IFERROR('Cash Flow Data'!J8,0)</f>
        <v>0</v>
      </c>
      <c r="I75" s="27">
        <f>IFERROR('Cash Flow Data'!K8,0)</f>
        <v>0</v>
      </c>
      <c r="J75" s="27">
        <f>IFERROR('Cash Flow Data'!L8,0)</f>
        <v>0</v>
      </c>
      <c r="K75" s="27">
        <f>IFERROR('Cash Flow Data'!M8,0)</f>
        <v>0</v>
      </c>
      <c r="L75" s="27">
        <f>IFERROR('Cash Flow Data'!N8,0)</f>
        <v>0</v>
      </c>
    </row>
    <row r="76" spans="1:13" x14ac:dyDescent="0.35">
      <c r="B76" t="s">
        <v>91</v>
      </c>
      <c r="C76" s="27">
        <f>IFERROR('Cash Flow Data'!E9,0)</f>
        <v>5852</v>
      </c>
      <c r="D76" s="27">
        <f>IFERROR('Cash Flow Data'!F9,0)</f>
        <v>4727</v>
      </c>
      <c r="E76" s="27">
        <f>IFERROR('Cash Flow Data'!G9,0)</f>
        <v>494</v>
      </c>
      <c r="F76" s="27">
        <f>IFERROR('Cash Flow Data'!H9,0)</f>
        <v>4512</v>
      </c>
      <c r="G76" s="27">
        <f>IFERROR('Cash Flow Data'!I9,0)</f>
        <v>875</v>
      </c>
      <c r="H76" s="27">
        <f>IFERROR('Cash Flow Data'!J9,0)</f>
        <v>-4150</v>
      </c>
      <c r="I76" s="27">
        <f>IFERROR('Cash Flow Data'!K9,0)</f>
        <v>-4396</v>
      </c>
      <c r="J76" s="27">
        <f>IFERROR('Cash Flow Data'!L9,0)</f>
        <v>-2194</v>
      </c>
      <c r="K76" s="27">
        <f>IFERROR('Cash Flow Data'!M9,0)</f>
        <v>2760</v>
      </c>
      <c r="L76" s="27">
        <f>IFERROR('Cash Flow Data'!N9,0)</f>
        <v>1153</v>
      </c>
    </row>
    <row r="77" spans="1:13" x14ac:dyDescent="0.35">
      <c r="B77" t="s">
        <v>92</v>
      </c>
      <c r="C77" s="27">
        <f>IFERROR('Cash Flow Data'!E10,0)</f>
        <v>1313</v>
      </c>
      <c r="D77" s="27">
        <f>IFERROR('Cash Flow Data'!F10,0)</f>
        <v>3254</v>
      </c>
      <c r="E77" s="27">
        <f>IFERROR('Cash Flow Data'!G10,0)</f>
        <v>-6434</v>
      </c>
      <c r="F77" s="27">
        <f>IFERROR('Cash Flow Data'!H10,0)</f>
        <v>-7221</v>
      </c>
      <c r="G77" s="27">
        <f>IFERROR('Cash Flow Data'!I10,0)</f>
        <v>5065</v>
      </c>
      <c r="H77" s="27">
        <f>IFERROR('Cash Flow Data'!J10,0)</f>
        <v>-93</v>
      </c>
      <c r="I77" s="27">
        <f>IFERROR('Cash Flow Data'!K10,0)</f>
        <v>-10750</v>
      </c>
      <c r="J77" s="27">
        <f>IFERROR('Cash Flow Data'!L10,0)</f>
        <v>-3127</v>
      </c>
      <c r="K77" s="27">
        <f>IFERROR('Cash Flow Data'!M10,0)</f>
        <v>7325</v>
      </c>
      <c r="L77" s="27">
        <f>IFERROR('Cash Flow Data'!N10,0)</f>
        <v>8156</v>
      </c>
    </row>
    <row r="78" spans="1:13" x14ac:dyDescent="0.35">
      <c r="B78" s="12" t="s">
        <v>112</v>
      </c>
      <c r="C78" s="19">
        <f>IFERROR(SUM(C70:C77),0)</f>
        <v>79152</v>
      </c>
      <c r="D78" s="19">
        <f t="shared" ref="D78:L78" si="22">IFERROR(SUM(D70:D77),0)</f>
        <v>65548</v>
      </c>
      <c r="E78" s="19">
        <f t="shared" si="22"/>
        <v>44301</v>
      </c>
      <c r="F78" s="19">
        <f t="shared" si="22"/>
        <v>33221</v>
      </c>
      <c r="G78" s="19">
        <f t="shared" si="22"/>
        <v>60116</v>
      </c>
      <c r="H78" s="19">
        <f t="shared" si="22"/>
        <v>60013</v>
      </c>
      <c r="I78" s="19">
        <f t="shared" si="22"/>
        <v>19725</v>
      </c>
      <c r="J78" s="19">
        <f t="shared" si="22"/>
        <v>70828</v>
      </c>
      <c r="K78" s="19">
        <f t="shared" si="22"/>
        <v>147671</v>
      </c>
      <c r="L78" s="19">
        <f t="shared" si="22"/>
        <v>138351</v>
      </c>
      <c r="M78" s="12"/>
    </row>
    <row r="80" spans="1:13" x14ac:dyDescent="0.35">
      <c r="B80" s="12" t="s">
        <v>117</v>
      </c>
    </row>
    <row r="81" spans="2:13" s="12" customFormat="1" x14ac:dyDescent="0.35">
      <c r="B81" t="s">
        <v>93</v>
      </c>
      <c r="C81" s="27">
        <f>IFERROR('Cash Flow Data'!E13,0)</f>
        <v>-31503</v>
      </c>
      <c r="D81" s="27">
        <f>IFERROR('Cash Flow Data'!F13,0)</f>
        <v>-16072</v>
      </c>
      <c r="E81" s="27">
        <f>IFERROR('Cash Flow Data'!G13,0)</f>
        <v>-35079</v>
      </c>
      <c r="F81" s="27">
        <f>IFERROR('Cash Flow Data'!H13,0)</f>
        <v>-35304</v>
      </c>
      <c r="G81" s="27">
        <f>IFERROR('Cash Flow Data'!I13,0)</f>
        <v>-29702</v>
      </c>
      <c r="H81" s="27">
        <f>IFERROR('Cash Flow Data'!J13,0)</f>
        <v>-20205</v>
      </c>
      <c r="I81" s="27">
        <f>IFERROR('Cash Flow Data'!K13,0)</f>
        <v>-15168</v>
      </c>
      <c r="J81" s="27">
        <f>IFERROR('Cash Flow Data'!L13,0)</f>
        <v>-19230</v>
      </c>
      <c r="K81" s="27">
        <f>IFERROR('Cash Flow Data'!M13,0)</f>
        <v>-31414</v>
      </c>
      <c r="L81" s="27">
        <f>IFERROR('Cash Flow Data'!N13,0)</f>
        <v>-38042</v>
      </c>
      <c r="M81"/>
    </row>
    <row r="82" spans="2:13" x14ac:dyDescent="0.35">
      <c r="B82" t="s">
        <v>94</v>
      </c>
      <c r="C82" s="27">
        <f>IFERROR('Cash Flow Data'!E14,0)</f>
        <v>59</v>
      </c>
      <c r="D82" s="27">
        <f>IFERROR('Cash Flow Data'!F14,0)</f>
        <v>53</v>
      </c>
      <c r="E82" s="27">
        <f>IFERROR('Cash Flow Data'!G14,0)</f>
        <v>30</v>
      </c>
      <c r="F82" s="27">
        <f>IFERROR('Cash Flow Data'!H14,0)</f>
        <v>67</v>
      </c>
      <c r="G82" s="27">
        <f>IFERROR('Cash Flow Data'!I14,0)</f>
        <v>171</v>
      </c>
      <c r="H82" s="27">
        <f>IFERROR('Cash Flow Data'!J14,0)</f>
        <v>351</v>
      </c>
      <c r="I82" s="27">
        <f>IFERROR('Cash Flow Data'!K14,0)</f>
        <v>230</v>
      </c>
      <c r="J82" s="27">
        <f>IFERROR('Cash Flow Data'!L14,0)</f>
        <v>285</v>
      </c>
      <c r="K82" s="27">
        <f>IFERROR('Cash Flow Data'!M14,0)</f>
        <v>231</v>
      </c>
      <c r="L82" s="27">
        <f>IFERROR('Cash Flow Data'!N14,0)</f>
        <v>974</v>
      </c>
    </row>
    <row r="83" spans="2:13" x14ac:dyDescent="0.35">
      <c r="B83" t="s">
        <v>95</v>
      </c>
      <c r="C83" s="27">
        <f>IFERROR('Cash Flow Data'!E15,0)</f>
        <v>-4728</v>
      </c>
      <c r="D83" s="27">
        <f>IFERROR('Cash Flow Data'!F15,0)</f>
        <v>-6</v>
      </c>
      <c r="E83" s="27">
        <f>IFERROR('Cash Flow Data'!G15,0)</f>
        <v>-329</v>
      </c>
      <c r="F83" s="27">
        <f>IFERROR('Cash Flow Data'!H15,0)</f>
        <v>-130</v>
      </c>
      <c r="G83" s="27">
        <f>IFERROR('Cash Flow Data'!I15,0)</f>
        <v>-1439</v>
      </c>
      <c r="H83" s="27">
        <f>IFERROR('Cash Flow Data'!J15,0)</f>
        <v>-7530</v>
      </c>
      <c r="I83" s="27">
        <f>IFERROR('Cash Flow Data'!K15,0)</f>
        <v>-3008</v>
      </c>
      <c r="J83" s="27">
        <f>IFERROR('Cash Flow Data'!L15,0)</f>
        <v>-50</v>
      </c>
      <c r="K83" s="27">
        <f>IFERROR('Cash Flow Data'!M15,0)</f>
        <v>-74</v>
      </c>
      <c r="L83" s="27">
        <f>IFERROR('Cash Flow Data'!N15,0)</f>
        <v>-12677</v>
      </c>
    </row>
    <row r="84" spans="2:13" x14ac:dyDescent="0.35">
      <c r="B84" t="s">
        <v>96</v>
      </c>
      <c r="C84" s="27">
        <f>IFERROR('Cash Flow Data'!E16,0)</f>
        <v>89</v>
      </c>
      <c r="D84" s="27">
        <f>IFERROR('Cash Flow Data'!F16,0)</f>
        <v>1965</v>
      </c>
      <c r="E84" s="27">
        <f>IFERROR('Cash Flow Data'!G16,0)</f>
        <v>2381</v>
      </c>
      <c r="F84" s="27">
        <f>IFERROR('Cash Flow Data'!H16,0)</f>
        <v>5644</v>
      </c>
      <c r="G84" s="27">
        <f>IFERROR('Cash Flow Data'!I16,0)</f>
        <v>21</v>
      </c>
      <c r="H84" s="27">
        <f>IFERROR('Cash Flow Data'!J16,0)</f>
        <v>226</v>
      </c>
      <c r="I84" s="27">
        <f>IFERROR('Cash Flow Data'!K16,0)</f>
        <v>104</v>
      </c>
      <c r="J84" s="27">
        <f>IFERROR('Cash Flow Data'!L16,0)</f>
        <v>6895</v>
      </c>
      <c r="K84" s="27">
        <f>IFERROR('Cash Flow Data'!M16,0)</f>
        <v>10821</v>
      </c>
      <c r="L84" s="27">
        <f>IFERROR('Cash Flow Data'!N16,0)</f>
        <v>111</v>
      </c>
    </row>
    <row r="85" spans="2:13" x14ac:dyDescent="0.35">
      <c r="B85" t="s">
        <v>97</v>
      </c>
      <c r="C85" s="27">
        <f>IFERROR('Cash Flow Data'!E17,0)</f>
        <v>731</v>
      </c>
      <c r="D85" s="27">
        <f>IFERROR('Cash Flow Data'!F17,0)</f>
        <v>638</v>
      </c>
      <c r="E85" s="27">
        <f>IFERROR('Cash Flow Data'!G17,0)</f>
        <v>690</v>
      </c>
      <c r="F85" s="27">
        <f>IFERROR('Cash Flow Data'!H17,0)</f>
        <v>761</v>
      </c>
      <c r="G85" s="27">
        <f>IFERROR('Cash Flow Data'!I17,0)</f>
        <v>1104</v>
      </c>
      <c r="H85" s="27">
        <f>IFERROR('Cash Flow Data'!J17,0)</f>
        <v>428</v>
      </c>
      <c r="I85" s="27">
        <f>IFERROR('Cash Flow Data'!K17,0)</f>
        <v>653</v>
      </c>
      <c r="J85" s="27">
        <f>IFERROR('Cash Flow Data'!L17,0)</f>
        <v>973</v>
      </c>
      <c r="K85" s="27">
        <f>IFERROR('Cash Flow Data'!M17,0)</f>
        <v>2493</v>
      </c>
      <c r="L85" s="27">
        <f>IFERROR('Cash Flow Data'!N17,0)</f>
        <v>2420</v>
      </c>
    </row>
    <row r="86" spans="2:13" x14ac:dyDescent="0.35">
      <c r="B86" t="s">
        <v>98</v>
      </c>
      <c r="C86" s="27">
        <f>IFERROR('Cash Flow Data'!E18,0)</f>
        <v>58</v>
      </c>
      <c r="D86" s="27">
        <f>IFERROR('Cash Flow Data'!F18,0)</f>
        <v>620</v>
      </c>
      <c r="E86" s="27">
        <f>IFERROR('Cash Flow Data'!G18,0)</f>
        <v>1797</v>
      </c>
      <c r="F86" s="27">
        <f>IFERROR('Cash Flow Data'!H18,0)</f>
        <v>232</v>
      </c>
      <c r="G86" s="27">
        <f>IFERROR('Cash Flow Data'!I18,0)</f>
        <v>21</v>
      </c>
      <c r="H86" s="27">
        <f>IFERROR('Cash Flow Data'!J18,0)</f>
        <v>18</v>
      </c>
      <c r="I86" s="27">
        <f>IFERROR('Cash Flow Data'!K18,0)</f>
        <v>32</v>
      </c>
      <c r="J86" s="27">
        <f>IFERROR('Cash Flow Data'!L18,0)</f>
        <v>46</v>
      </c>
      <c r="K86" s="27">
        <f>IFERROR('Cash Flow Data'!M18,0)</f>
        <v>47</v>
      </c>
      <c r="L86" s="27">
        <f>IFERROR('Cash Flow Data'!N18,0)</f>
        <v>64</v>
      </c>
    </row>
    <row r="87" spans="2:13" x14ac:dyDescent="0.35">
      <c r="B87" t="s">
        <v>99</v>
      </c>
      <c r="C87" s="27">
        <f>IFERROR('Cash Flow Data'!E19,0)</f>
        <v>0</v>
      </c>
      <c r="D87" s="27">
        <f>IFERROR('Cash Flow Data'!F19,0)</f>
        <v>-107</v>
      </c>
      <c r="E87" s="27">
        <f>IFERROR('Cash Flow Data'!G19,0)</f>
        <v>-4</v>
      </c>
      <c r="F87" s="27">
        <f>IFERROR('Cash Flow Data'!H19,0)</f>
        <v>-9</v>
      </c>
      <c r="G87" s="27">
        <f>IFERROR('Cash Flow Data'!I19,0)</f>
        <v>-606</v>
      </c>
      <c r="H87" s="27">
        <f>IFERROR('Cash Flow Data'!J19,0)</f>
        <v>-10</v>
      </c>
      <c r="I87" s="27">
        <f>IFERROR('Cash Flow Data'!K19,0)</f>
        <v>0</v>
      </c>
      <c r="J87" s="27">
        <f>IFERROR('Cash Flow Data'!L19,0)</f>
        <v>0</v>
      </c>
      <c r="K87" s="27">
        <f>IFERROR('Cash Flow Data'!M19,0)</f>
        <v>-150</v>
      </c>
      <c r="L87" s="27">
        <f>IFERROR('Cash Flow Data'!N19,0)</f>
        <v>0</v>
      </c>
    </row>
    <row r="88" spans="2:13" x14ac:dyDescent="0.35">
      <c r="B88" t="s">
        <v>100</v>
      </c>
      <c r="C88" s="27">
        <f>IFERROR('Cash Flow Data'!E20,0)</f>
        <v>0</v>
      </c>
      <c r="D88" s="27">
        <f>IFERROR('Cash Flow Data'!F20,0)</f>
        <v>0</v>
      </c>
      <c r="E88" s="27">
        <f>IFERROR('Cash Flow Data'!G20,0)</f>
        <v>14</v>
      </c>
      <c r="F88" s="27">
        <f>IFERROR('Cash Flow Data'!H20,0)</f>
        <v>533</v>
      </c>
      <c r="G88" s="27">
        <f>IFERROR('Cash Flow Data'!I20,0)</f>
        <v>0</v>
      </c>
      <c r="H88" s="27">
        <f>IFERROR('Cash Flow Data'!J20,0)</f>
        <v>0</v>
      </c>
      <c r="I88" s="27">
        <f>IFERROR('Cash Flow Data'!K20,0)</f>
        <v>0</v>
      </c>
      <c r="J88" s="27">
        <f>IFERROR('Cash Flow Data'!L20,0)</f>
        <v>19</v>
      </c>
      <c r="K88" s="27">
        <f>IFERROR('Cash Flow Data'!M20,0)</f>
        <v>107</v>
      </c>
      <c r="L88" s="27">
        <f>IFERROR('Cash Flow Data'!N20,0)</f>
        <v>765</v>
      </c>
    </row>
    <row r="89" spans="2:13" x14ac:dyDescent="0.35">
      <c r="B89" t="s">
        <v>101</v>
      </c>
      <c r="C89" s="27">
        <f>IFERROR('Cash Flow Data'!E21,0)</f>
        <v>-111</v>
      </c>
      <c r="D89" s="27">
        <f>IFERROR('Cash Flow Data'!F21,0)</f>
        <v>0</v>
      </c>
      <c r="E89" s="27">
        <f>IFERROR('Cash Flow Data'!G21,0)</f>
        <v>0</v>
      </c>
      <c r="F89" s="27">
        <f>IFERROR('Cash Flow Data'!H21,0)</f>
        <v>-8</v>
      </c>
      <c r="G89" s="27">
        <f>IFERROR('Cash Flow Data'!I21,0)</f>
        <v>-27</v>
      </c>
      <c r="H89" s="27">
        <f>IFERROR('Cash Flow Data'!J21,0)</f>
        <v>0</v>
      </c>
      <c r="I89" s="27">
        <f>IFERROR('Cash Flow Data'!K21,0)</f>
        <v>-98</v>
      </c>
      <c r="J89" s="27">
        <f>IFERROR('Cash Flow Data'!L21,0)</f>
        <v>0</v>
      </c>
      <c r="K89" s="27">
        <f>IFERROR('Cash Flow Data'!M21,0)</f>
        <v>0</v>
      </c>
      <c r="L89" s="27">
        <f>IFERROR('Cash Flow Data'!N21,0)</f>
        <v>-688</v>
      </c>
    </row>
    <row r="90" spans="2:13" x14ac:dyDescent="0.35">
      <c r="B90" t="s">
        <v>102</v>
      </c>
      <c r="C90" s="27">
        <f>IFERROR('Cash Flow Data'!E22,0)</f>
        <v>0</v>
      </c>
      <c r="D90" s="27">
        <f>IFERROR('Cash Flow Data'!F22,0)</f>
        <v>0</v>
      </c>
      <c r="E90" s="27">
        <f>IFERROR('Cash Flow Data'!G22,0)</f>
        <v>0</v>
      </c>
      <c r="F90" s="27">
        <f>IFERROR('Cash Flow Data'!H22,0)</f>
        <v>0</v>
      </c>
      <c r="G90" s="27">
        <f>IFERROR('Cash Flow Data'!I22,0)</f>
        <v>0</v>
      </c>
      <c r="H90" s="27">
        <f>IFERROR('Cash Flow Data'!J22,0)</f>
        <v>0</v>
      </c>
      <c r="I90" s="27">
        <f>IFERROR('Cash Flow Data'!K22,0)</f>
        <v>0</v>
      </c>
      <c r="J90" s="27">
        <f>IFERROR('Cash Flow Data'!L22,0)</f>
        <v>0</v>
      </c>
      <c r="K90" s="27">
        <f>IFERROR('Cash Flow Data'!M22,0)</f>
        <v>-25</v>
      </c>
      <c r="L90" s="27">
        <f>IFERROR('Cash Flow Data'!N22,0)</f>
        <v>-20</v>
      </c>
    </row>
    <row r="91" spans="2:13" x14ac:dyDescent="0.35">
      <c r="B91" t="s">
        <v>103</v>
      </c>
      <c r="C91" s="27">
        <f>IFERROR('Cash Flow Data'!E23,0)</f>
        <v>-1289</v>
      </c>
      <c r="D91" s="27">
        <f>IFERROR('Cash Flow Data'!F23,0)</f>
        <v>-26663</v>
      </c>
      <c r="E91" s="27">
        <f>IFERROR('Cash Flow Data'!G23,0)</f>
        <v>5360</v>
      </c>
      <c r="F91" s="27">
        <f>IFERROR('Cash Flow Data'!H23,0)</f>
        <v>7335</v>
      </c>
      <c r="G91" s="27">
        <f>IFERROR('Cash Flow Data'!I23,0)</f>
        <v>-2659</v>
      </c>
      <c r="H91" s="27">
        <f>IFERROR('Cash Flow Data'!J23,0)</f>
        <v>1051</v>
      </c>
      <c r="I91" s="27">
        <f>IFERROR('Cash Flow Data'!K23,0)</f>
        <v>12813</v>
      </c>
      <c r="J91" s="27">
        <f>IFERROR('Cash Flow Data'!L23,0)</f>
        <v>-4357</v>
      </c>
      <c r="K91" s="27">
        <f>IFERROR('Cash Flow Data'!M23,0)</f>
        <v>-4817</v>
      </c>
      <c r="L91" s="27">
        <f>IFERROR('Cash Flow Data'!N23,0)</f>
        <v>-2889</v>
      </c>
    </row>
    <row r="92" spans="2:13" x14ac:dyDescent="0.35">
      <c r="B92" s="12" t="s">
        <v>118</v>
      </c>
      <c r="C92" s="19">
        <f>IFERROR(SUM(C81:C91),0)</f>
        <v>-36694</v>
      </c>
      <c r="D92" s="19">
        <f t="shared" ref="D92:L92" si="23">IFERROR(SUM(D81:D91),0)</f>
        <v>-39572</v>
      </c>
      <c r="E92" s="19">
        <f t="shared" si="23"/>
        <v>-25140</v>
      </c>
      <c r="F92" s="19">
        <f t="shared" si="23"/>
        <v>-20879</v>
      </c>
      <c r="G92" s="19">
        <f t="shared" si="23"/>
        <v>-33116</v>
      </c>
      <c r="H92" s="19">
        <f t="shared" si="23"/>
        <v>-25671</v>
      </c>
      <c r="I92" s="19">
        <f t="shared" si="23"/>
        <v>-4442</v>
      </c>
      <c r="J92" s="19">
        <f t="shared" si="23"/>
        <v>-15419</v>
      </c>
      <c r="K92" s="19">
        <f t="shared" si="23"/>
        <v>-22781</v>
      </c>
      <c r="L92" s="19">
        <f t="shared" si="23"/>
        <v>-49982</v>
      </c>
    </row>
    <row r="94" spans="2:13" x14ac:dyDescent="0.35">
      <c r="B94" s="12" t="s">
        <v>119</v>
      </c>
    </row>
    <row r="95" spans="2:13" x14ac:dyDescent="0.35">
      <c r="B95" t="s">
        <v>104</v>
      </c>
      <c r="C95" s="27">
        <f>IFERROR('Cash Flow Data'!E25,0)</f>
        <v>7433</v>
      </c>
      <c r="D95" s="27">
        <f>IFERROR('Cash Flow Data'!F25,0)</f>
        <v>5</v>
      </c>
      <c r="E95" s="27">
        <f>IFERROR('Cash Flow Data'!G25,0)</f>
        <v>0</v>
      </c>
      <c r="F95" s="27">
        <f>IFERROR('Cash Flow Data'!H25,0)</f>
        <v>0</v>
      </c>
      <c r="G95" s="27">
        <f>IFERROR('Cash Flow Data'!I25,0)</f>
        <v>3889</v>
      </c>
      <c r="H95" s="27">
        <f>IFERROR('Cash Flow Data'!J25,0)</f>
        <v>2603</v>
      </c>
      <c r="I95" s="27">
        <f>IFERROR('Cash Flow Data'!K25,0)</f>
        <v>19</v>
      </c>
      <c r="J95" s="27">
        <f>IFERROR('Cash Flow Data'!L25,0)</f>
        <v>20</v>
      </c>
      <c r="K95" s="27">
        <f>IFERROR('Cash Flow Data'!M25,0)</f>
        <v>82</v>
      </c>
      <c r="L95" s="27">
        <f>IFERROR('Cash Flow Data'!N25,0)</f>
        <v>1108</v>
      </c>
    </row>
    <row r="96" spans="2:13" x14ac:dyDescent="0.35">
      <c r="B96" t="s">
        <v>105</v>
      </c>
      <c r="C96" s="27">
        <f>IFERROR('Cash Flow Data'!E26,0)</f>
        <v>0</v>
      </c>
      <c r="D96" s="27">
        <f>IFERROR('Cash Flow Data'!F26,0)</f>
        <v>0</v>
      </c>
      <c r="E96" s="27">
        <f>IFERROR('Cash Flow Data'!G26,0)</f>
        <v>0</v>
      </c>
      <c r="F96" s="27">
        <f>IFERROR('Cash Flow Data'!H26,0)</f>
        <v>0</v>
      </c>
      <c r="G96" s="27">
        <f>IFERROR('Cash Flow Data'!I26,0)</f>
        <v>0</v>
      </c>
      <c r="H96" s="27">
        <f>IFERROR('Cash Flow Data'!J26,0)</f>
        <v>0</v>
      </c>
      <c r="I96" s="27">
        <f>IFERROR('Cash Flow Data'!K26,0)</f>
        <v>0</v>
      </c>
      <c r="J96" s="27">
        <f>IFERROR('Cash Flow Data'!L26,0)</f>
        <v>0</v>
      </c>
      <c r="K96" s="27">
        <f>IFERROR('Cash Flow Data'!M26,0)</f>
        <v>0</v>
      </c>
      <c r="L96" s="27">
        <f>IFERROR('Cash Flow Data'!N26,0)</f>
        <v>0</v>
      </c>
    </row>
    <row r="97" spans="2:12" x14ac:dyDescent="0.35">
      <c r="B97" t="s">
        <v>106</v>
      </c>
      <c r="C97" s="27">
        <f>IFERROR('Cash Flow Data'!E27,0)</f>
        <v>19519</v>
      </c>
      <c r="D97" s="27">
        <f>IFERROR('Cash Flow Data'!F27,0)</f>
        <v>33390</v>
      </c>
      <c r="E97" s="27">
        <f>IFERROR('Cash Flow Data'!G27,0)</f>
        <v>37482</v>
      </c>
      <c r="F97" s="27">
        <f>IFERROR('Cash Flow Data'!H27,0)</f>
        <v>51128</v>
      </c>
      <c r="G97" s="27">
        <f>IFERROR('Cash Flow Data'!I27,0)</f>
        <v>38297</v>
      </c>
      <c r="H97" s="27">
        <f>IFERROR('Cash Flow Data'!J27,0)</f>
        <v>46641</v>
      </c>
      <c r="I97" s="27">
        <f>IFERROR('Cash Flow Data'!K27,0)</f>
        <v>46578</v>
      </c>
      <c r="J97" s="27">
        <f>IFERROR('Cash Flow Data'!L27,0)</f>
        <v>43934</v>
      </c>
      <c r="K97" s="27">
        <f>IFERROR('Cash Flow Data'!M27,0)</f>
        <v>18829</v>
      </c>
      <c r="L97" s="27">
        <f>IFERROR('Cash Flow Data'!N27,0)</f>
        <v>13384</v>
      </c>
    </row>
    <row r="98" spans="2:12" x14ac:dyDescent="0.35">
      <c r="B98" t="s">
        <v>107</v>
      </c>
      <c r="C98" s="27">
        <f>IFERROR('Cash Flow Data'!E28,0)</f>
        <v>-24924</v>
      </c>
      <c r="D98" s="27">
        <f>IFERROR('Cash Flow Data'!F28,0)</f>
        <v>-21732</v>
      </c>
      <c r="E98" s="27">
        <f>IFERROR('Cash Flow Data'!G28,0)</f>
        <v>-29964</v>
      </c>
      <c r="F98" s="27">
        <f>IFERROR('Cash Flow Data'!H28,0)</f>
        <v>-35198</v>
      </c>
      <c r="G98" s="27">
        <f>IFERROR('Cash Flow Data'!I28,0)</f>
        <v>-29847</v>
      </c>
      <c r="H98" s="27">
        <f>IFERROR('Cash Flow Data'!J28,0)</f>
        <v>-29709</v>
      </c>
      <c r="I98" s="27">
        <f>IFERROR('Cash Flow Data'!K28,0)</f>
        <v>-42816</v>
      </c>
      <c r="J98" s="27">
        <f>IFERROR('Cash Flow Data'!L28,0)</f>
        <v>-62557</v>
      </c>
      <c r="K98" s="27">
        <f>IFERROR('Cash Flow Data'!M28,0)</f>
        <v>-47414</v>
      </c>
      <c r="L98" s="27">
        <f>IFERROR('Cash Flow Data'!N28,0)</f>
        <v>-21443</v>
      </c>
    </row>
    <row r="99" spans="2:12" x14ac:dyDescent="0.35">
      <c r="B99" t="s">
        <v>108</v>
      </c>
      <c r="C99" s="27">
        <f>IFERROR('Cash Flow Data'!E29,0)</f>
        <v>-5716</v>
      </c>
      <c r="D99" s="27">
        <f>IFERROR('Cash Flow Data'!F29,0)</f>
        <v>-5336</v>
      </c>
      <c r="E99" s="27">
        <f>IFERROR('Cash Flow Data'!G29,0)</f>
        <v>-5411</v>
      </c>
      <c r="F99" s="27">
        <f>IFERROR('Cash Flow Data'!H29,0)</f>
        <v>-7005</v>
      </c>
      <c r="G99" s="27">
        <f>IFERROR('Cash Flow Data'!I29,0)</f>
        <v>-7518</v>
      </c>
      <c r="H99" s="27">
        <f>IFERROR('Cash Flow Data'!J29,0)</f>
        <v>-8123</v>
      </c>
      <c r="I99" s="27">
        <f>IFERROR('Cash Flow Data'!K29,0)</f>
        <v>-9251</v>
      </c>
      <c r="J99" s="27">
        <f>IFERROR('Cash Flow Data'!L29,0)</f>
        <v>-9336</v>
      </c>
      <c r="K99" s="27">
        <f>IFERROR('Cash Flow Data'!M29,0)</f>
        <v>-9332</v>
      </c>
      <c r="L99" s="27">
        <f>IFERROR('Cash Flow Data'!N29,0)</f>
        <v>-5814</v>
      </c>
    </row>
    <row r="100" spans="2:12" x14ac:dyDescent="0.35">
      <c r="B100" t="s">
        <v>109</v>
      </c>
      <c r="C100" s="27">
        <f>IFERROR('Cash Flow Data'!E30,0)</f>
        <v>-108</v>
      </c>
      <c r="D100" s="27">
        <f>IFERROR('Cash Flow Data'!F30,0)</f>
        <v>-121</v>
      </c>
      <c r="E100" s="27">
        <f>IFERROR('Cash Flow Data'!G30,0)</f>
        <v>-96</v>
      </c>
      <c r="F100" s="27">
        <f>IFERROR('Cash Flow Data'!H30,0)</f>
        <v>-95</v>
      </c>
      <c r="G100" s="27">
        <f>IFERROR('Cash Flow Data'!I30,0)</f>
        <v>-57</v>
      </c>
      <c r="H100" s="27">
        <f>IFERROR('Cash Flow Data'!J30,0)</f>
        <v>-30</v>
      </c>
      <c r="I100" s="27">
        <f>IFERROR('Cash Flow Data'!K30,0)</f>
        <v>-100</v>
      </c>
      <c r="J100" s="27">
        <f>IFERROR('Cash Flow Data'!L30,0)</f>
        <v>-141</v>
      </c>
      <c r="K100" s="27">
        <f>IFERROR('Cash Flow Data'!M30,0)</f>
        <v>-1059</v>
      </c>
      <c r="L100" s="27">
        <f>IFERROR('Cash Flow Data'!N30,0)</f>
        <v>-2492</v>
      </c>
    </row>
    <row r="101" spans="2:12" x14ac:dyDescent="0.35">
      <c r="B101" t="s">
        <v>110</v>
      </c>
      <c r="C101" s="27">
        <f>IFERROR('Cash Flow Data'!E31,0)</f>
        <v>0</v>
      </c>
      <c r="D101" s="27">
        <f>IFERROR('Cash Flow Data'!F31,0)</f>
        <v>0</v>
      </c>
      <c r="E101" s="27">
        <f>IFERROR('Cash Flow Data'!G31,0)</f>
        <v>0</v>
      </c>
      <c r="F101" s="27">
        <f>IFERROR('Cash Flow Data'!H31,0)</f>
        <v>0</v>
      </c>
      <c r="G101" s="27">
        <f>IFERROR('Cash Flow Data'!I31,0)</f>
        <v>-1346</v>
      </c>
      <c r="H101" s="27">
        <f>IFERROR('Cash Flow Data'!J31,0)</f>
        <v>-1477</v>
      </c>
      <c r="I101" s="27">
        <f>IFERROR('Cash Flow Data'!K31,0)</f>
        <v>-1559</v>
      </c>
      <c r="J101" s="27">
        <f>IFERROR('Cash Flow Data'!L31,0)</f>
        <v>-1517</v>
      </c>
      <c r="K101" s="27">
        <f>IFERROR('Cash Flow Data'!M31,0)</f>
        <v>-1924</v>
      </c>
      <c r="L101" s="27">
        <f>IFERROR('Cash Flow Data'!N31,0)</f>
        <v>-2393</v>
      </c>
    </row>
    <row r="102" spans="2:12" x14ac:dyDescent="0.35">
      <c r="B102" t="s">
        <v>111</v>
      </c>
      <c r="C102" s="27">
        <f>IFERROR('Cash Flow Data'!E32,0)</f>
        <v>0</v>
      </c>
      <c r="D102" s="27">
        <f>IFERROR('Cash Flow Data'!F32,0)</f>
        <v>0</v>
      </c>
      <c r="E102" s="27">
        <f>IFERROR('Cash Flow Data'!G32,0)</f>
        <v>0</v>
      </c>
      <c r="F102" s="27">
        <f>IFERROR('Cash Flow Data'!H32,0)</f>
        <v>0</v>
      </c>
      <c r="G102" s="27">
        <f>IFERROR('Cash Flow Data'!I32,0)</f>
        <v>-29</v>
      </c>
      <c r="H102" s="27">
        <f>IFERROR('Cash Flow Data'!J32,0)</f>
        <v>0</v>
      </c>
      <c r="I102" s="27">
        <f>IFERROR('Cash Flow Data'!K32,0)</f>
        <v>3750</v>
      </c>
      <c r="J102" s="27">
        <f>IFERROR('Cash Flow Data'!L32,0)</f>
        <v>3355</v>
      </c>
      <c r="K102" s="27">
        <f>IFERROR('Cash Flow Data'!M32,0)</f>
        <v>3812</v>
      </c>
      <c r="L102" s="27">
        <f>IFERROR('Cash Flow Data'!N32,0)</f>
        <v>-1136</v>
      </c>
    </row>
    <row r="103" spans="2:12" x14ac:dyDescent="0.35">
      <c r="B103" s="12" t="s">
        <v>120</v>
      </c>
      <c r="C103" s="19">
        <f>IFERROR(SUM(C95:C102),0)</f>
        <v>-3796</v>
      </c>
      <c r="D103" s="19">
        <f t="shared" ref="D103:L103" si="24">IFERROR(SUM(D95:D102),0)</f>
        <v>6206</v>
      </c>
      <c r="E103" s="19">
        <f t="shared" si="24"/>
        <v>2011</v>
      </c>
      <c r="F103" s="19">
        <f t="shared" si="24"/>
        <v>8830</v>
      </c>
      <c r="G103" s="19">
        <f t="shared" si="24"/>
        <v>3389</v>
      </c>
      <c r="H103" s="19">
        <f t="shared" si="24"/>
        <v>9905</v>
      </c>
      <c r="I103" s="19">
        <f t="shared" si="24"/>
        <v>-3379</v>
      </c>
      <c r="J103" s="19">
        <f t="shared" si="24"/>
        <v>-26242</v>
      </c>
      <c r="K103" s="19">
        <f t="shared" si="24"/>
        <v>-37006</v>
      </c>
      <c r="L103" s="19">
        <f t="shared" si="24"/>
        <v>-18786</v>
      </c>
    </row>
    <row r="105" spans="2:12" x14ac:dyDescent="0.35">
      <c r="B105" s="12" t="s">
        <v>50</v>
      </c>
      <c r="C105" s="19">
        <f>IFERROR(C78+C92+C103,0)</f>
        <v>38662</v>
      </c>
      <c r="D105" s="19">
        <f t="shared" ref="D105:L105" si="25">IFERROR(D78+D92+D103,0)</f>
        <v>32182</v>
      </c>
      <c r="E105" s="19">
        <f t="shared" si="25"/>
        <v>21172</v>
      </c>
      <c r="F105" s="19">
        <f t="shared" si="25"/>
        <v>21172</v>
      </c>
      <c r="G105" s="19">
        <f t="shared" si="25"/>
        <v>30389</v>
      </c>
      <c r="H105" s="19">
        <f t="shared" si="25"/>
        <v>44247</v>
      </c>
      <c r="I105" s="19">
        <f t="shared" si="25"/>
        <v>11904</v>
      </c>
      <c r="J105" s="19">
        <f t="shared" si="25"/>
        <v>29167</v>
      </c>
      <c r="K105" s="19">
        <f t="shared" si="25"/>
        <v>87884</v>
      </c>
      <c r="L105" s="19">
        <f t="shared" si="25"/>
        <v>69583</v>
      </c>
    </row>
  </sheetData>
  <mergeCells count="1">
    <mergeCell ref="B2:M2"/>
  </mergeCells>
  <pageMargins left="0.7" right="0.7" top="0.75" bottom="0.75" header="0.3" footer="0.3"/>
  <pageSetup paperSize="9" scale="48" orientation="portrait" r:id="rId1"/>
  <ignoredErrors>
    <ignoredError sqref="M6 M9 C15:L15 M21 M24 M30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6239-E0C3-4FAA-9AAC-3333D9D0C57D}">
  <sheetPr>
    <tabColor theme="8" tint="-0.499984740745262"/>
  </sheetPr>
  <dimension ref="A1"/>
  <sheetViews>
    <sheetView showGridLines="0" workbookViewId="0">
      <selection activeCell="H14" sqref="H14"/>
    </sheetView>
  </sheetViews>
  <sheetFormatPr defaultRowHeight="14.5" x14ac:dyDescent="0.35"/>
  <cols>
    <col min="1" max="1" width="2.1796875" customWidth="1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911BC-61BF-4033-88E8-CA59AB6236B2}">
  <sheetPr>
    <tabColor rgb="FF002060"/>
  </sheetPr>
  <dimension ref="A1"/>
  <sheetViews>
    <sheetView workbookViewId="0">
      <selection activeCell="K15" sqref="K15"/>
    </sheetView>
  </sheetViews>
  <sheetFormatPr defaultRowHeight="14.5" x14ac:dyDescent="0.3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F51C-7DDE-43B4-8FCB-E7C839A3E17D}">
  <dimension ref="A1:K93"/>
  <sheetViews>
    <sheetView workbookViewId="0">
      <selection activeCell="H12" sqref="H12"/>
    </sheetView>
  </sheetViews>
  <sheetFormatPr defaultColWidth="8.81640625" defaultRowHeight="14.5" x14ac:dyDescent="0.35"/>
  <cols>
    <col min="1" max="1" width="27.6328125" style="2" bestFit="1" customWidth="1"/>
    <col min="2" max="11" width="13.453125" style="2" bestFit="1" customWidth="1"/>
    <col min="12" max="16384" width="8.81640625" style="2"/>
  </cols>
  <sheetData>
    <row r="1" spans="1:11" s="1" customFormat="1" x14ac:dyDescent="0.35">
      <c r="A1" s="1" t="s">
        <v>0</v>
      </c>
      <c r="B1" s="1" t="s">
        <v>1</v>
      </c>
      <c r="E1" s="136" t="str">
        <f>IF(B2&lt;&gt;B3, "A NEW VERSION OF THE WORKSHEET IS AVAILABLE", "")</f>
        <v/>
      </c>
      <c r="F1" s="136"/>
      <c r="G1" s="136"/>
      <c r="H1" s="136"/>
      <c r="I1" s="136"/>
      <c r="J1" s="136"/>
      <c r="K1" s="136"/>
    </row>
    <row r="2" spans="1:11" x14ac:dyDescent="0.35">
      <c r="A2" s="1" t="s">
        <v>2</v>
      </c>
      <c r="B2" s="2">
        <v>2.1</v>
      </c>
      <c r="E2" s="137" t="s">
        <v>3</v>
      </c>
      <c r="F2" s="137"/>
      <c r="G2" s="137"/>
      <c r="H2" s="137"/>
      <c r="I2" s="137"/>
      <c r="J2" s="137"/>
      <c r="K2" s="137"/>
    </row>
    <row r="3" spans="1:11" x14ac:dyDescent="0.35">
      <c r="A3" s="1" t="s">
        <v>4</v>
      </c>
      <c r="B3" s="2">
        <v>2.1</v>
      </c>
    </row>
    <row r="4" spans="1:11" x14ac:dyDescent="0.35">
      <c r="A4" s="1"/>
    </row>
    <row r="5" spans="1:11" x14ac:dyDescent="0.35">
      <c r="A5" s="1" t="s">
        <v>5</v>
      </c>
    </row>
    <row r="6" spans="1:11" x14ac:dyDescent="0.35">
      <c r="A6" s="2" t="s">
        <v>6</v>
      </c>
      <c r="B6" s="2">
        <f>IF(B9&gt;0, B9/B8, 0)</f>
        <v>368.17104005880191</v>
      </c>
    </row>
    <row r="7" spans="1:11" x14ac:dyDescent="0.35">
      <c r="A7" s="2" t="s">
        <v>7</v>
      </c>
      <c r="B7">
        <v>2</v>
      </c>
    </row>
    <row r="8" spans="1:11" x14ac:dyDescent="0.35">
      <c r="A8" s="2" t="s">
        <v>8</v>
      </c>
      <c r="B8">
        <v>680.25</v>
      </c>
    </row>
    <row r="9" spans="1:11" x14ac:dyDescent="0.35">
      <c r="A9" s="2" t="s">
        <v>9</v>
      </c>
      <c r="B9">
        <v>250448.35</v>
      </c>
    </row>
    <row r="15" spans="1:11" x14ac:dyDescent="0.35">
      <c r="A15" s="1" t="s">
        <v>10</v>
      </c>
    </row>
    <row r="16" spans="1:11" s="5" customFormat="1" x14ac:dyDescent="0.35">
      <c r="A16" s="3" t="s">
        <v>11</v>
      </c>
      <c r="B16" s="4">
        <v>42460</v>
      </c>
      <c r="C16" s="4">
        <v>42825</v>
      </c>
      <c r="D16" s="4">
        <v>43190</v>
      </c>
      <c r="E16" s="4">
        <v>43555</v>
      </c>
      <c r="F16" s="4">
        <v>43921</v>
      </c>
      <c r="G16" s="4">
        <v>44286</v>
      </c>
      <c r="H16" s="4">
        <v>44651</v>
      </c>
      <c r="I16" s="4">
        <v>45016</v>
      </c>
      <c r="J16" s="4">
        <v>45382</v>
      </c>
      <c r="K16" s="4">
        <v>45747</v>
      </c>
    </row>
    <row r="17" spans="1:11" s="6" customFormat="1" x14ac:dyDescent="0.35">
      <c r="A17" s="6" t="s">
        <v>12</v>
      </c>
      <c r="B17">
        <v>273045.59999999998</v>
      </c>
      <c r="C17">
        <v>269692.51</v>
      </c>
      <c r="D17">
        <v>291550.48</v>
      </c>
      <c r="E17">
        <v>301938.40000000002</v>
      </c>
      <c r="F17">
        <v>261067.97</v>
      </c>
      <c r="G17">
        <v>249794.75</v>
      </c>
      <c r="H17">
        <v>278453.62</v>
      </c>
      <c r="I17">
        <v>345966.97</v>
      </c>
      <c r="J17">
        <v>434016</v>
      </c>
      <c r="K17">
        <v>439695</v>
      </c>
    </row>
    <row r="18" spans="1:11" s="6" customFormat="1" x14ac:dyDescent="0.35">
      <c r="A18" s="2" t="s">
        <v>13</v>
      </c>
      <c r="B18">
        <v>166134.01</v>
      </c>
      <c r="C18">
        <v>173294.07999999999</v>
      </c>
      <c r="D18">
        <v>187896.58</v>
      </c>
      <c r="E18">
        <v>194267.91</v>
      </c>
      <c r="F18">
        <v>164899.82</v>
      </c>
      <c r="G18">
        <v>153607.35999999999</v>
      </c>
      <c r="H18">
        <v>179295.33</v>
      </c>
      <c r="I18">
        <v>231251.26</v>
      </c>
      <c r="J18">
        <v>274321</v>
      </c>
      <c r="K18">
        <v>268950</v>
      </c>
    </row>
    <row r="19" spans="1:11" s="6" customFormat="1" x14ac:dyDescent="0.35">
      <c r="A19" s="2" t="s">
        <v>14</v>
      </c>
      <c r="B19">
        <v>2750.99</v>
      </c>
      <c r="C19">
        <v>7399.92</v>
      </c>
      <c r="D19">
        <v>2046.58</v>
      </c>
      <c r="E19">
        <v>-2053.2800000000002</v>
      </c>
      <c r="F19">
        <v>-2231.19</v>
      </c>
      <c r="G19">
        <v>-4684.16</v>
      </c>
      <c r="H19">
        <v>-1590.49</v>
      </c>
      <c r="I19">
        <v>4781.62</v>
      </c>
      <c r="J19">
        <v>1566</v>
      </c>
      <c r="K19">
        <v>-2836</v>
      </c>
    </row>
    <row r="20" spans="1:11" s="6" customFormat="1" x14ac:dyDescent="0.35">
      <c r="A20" s="2" t="s">
        <v>15</v>
      </c>
      <c r="B20">
        <v>1143.6300000000001</v>
      </c>
      <c r="C20">
        <v>1159.82</v>
      </c>
      <c r="D20">
        <v>1308.08</v>
      </c>
      <c r="E20">
        <v>1585.93</v>
      </c>
      <c r="F20">
        <v>1264.95</v>
      </c>
      <c r="G20">
        <v>1112.8699999999999</v>
      </c>
      <c r="H20">
        <v>2178.29</v>
      </c>
      <c r="I20">
        <v>2513.33</v>
      </c>
      <c r="J20">
        <v>2189</v>
      </c>
      <c r="K20">
        <v>2443</v>
      </c>
    </row>
    <row r="21" spans="1:11" s="6" customFormat="1" x14ac:dyDescent="0.35">
      <c r="A21" s="2" t="s">
        <v>16</v>
      </c>
      <c r="B21">
        <v>12101.53</v>
      </c>
      <c r="C21">
        <v>10067.370000000001</v>
      </c>
      <c r="D21">
        <v>10971.66</v>
      </c>
      <c r="E21">
        <v>11694.54</v>
      </c>
      <c r="F21">
        <v>11541.51</v>
      </c>
      <c r="G21">
        <v>8273.17</v>
      </c>
      <c r="H21">
        <v>9427.3799999999992</v>
      </c>
      <c r="I21">
        <v>11765.97</v>
      </c>
      <c r="J21">
        <v>17446</v>
      </c>
      <c r="K21">
        <v>18813</v>
      </c>
    </row>
    <row r="22" spans="1:11" s="6" customFormat="1" x14ac:dyDescent="0.35">
      <c r="A22" s="2" t="s">
        <v>17</v>
      </c>
      <c r="B22">
        <v>28880.89</v>
      </c>
      <c r="C22">
        <v>28332.89</v>
      </c>
      <c r="D22">
        <v>30300.09</v>
      </c>
      <c r="E22">
        <v>33243.870000000003</v>
      </c>
      <c r="F22">
        <v>30438.6</v>
      </c>
      <c r="G22">
        <v>27648.48</v>
      </c>
      <c r="H22">
        <v>30808.52</v>
      </c>
      <c r="I22">
        <v>33654.699999999997</v>
      </c>
      <c r="J22">
        <v>41990</v>
      </c>
      <c r="K22">
        <v>47767</v>
      </c>
    </row>
    <row r="23" spans="1:11" s="6" customFormat="1" x14ac:dyDescent="0.35">
      <c r="A23" s="2" t="s">
        <v>18</v>
      </c>
      <c r="B23">
        <v>21991.9</v>
      </c>
      <c r="C23">
        <v>30039.38</v>
      </c>
      <c r="D23">
        <v>31004.58</v>
      </c>
      <c r="E23">
        <v>32719.8</v>
      </c>
      <c r="F23">
        <v>29248.32</v>
      </c>
      <c r="G23">
        <v>23015.79</v>
      </c>
      <c r="H23">
        <v>29205.4</v>
      </c>
      <c r="I23">
        <v>34839.19</v>
      </c>
      <c r="J23">
        <v>42765</v>
      </c>
      <c r="K23">
        <v>47099</v>
      </c>
    </row>
    <row r="24" spans="1:11" s="6" customFormat="1" x14ac:dyDescent="0.35">
      <c r="A24" s="2" t="s">
        <v>19</v>
      </c>
      <c r="B24">
        <v>7149.38</v>
      </c>
      <c r="C24">
        <v>4610.2</v>
      </c>
      <c r="D24">
        <v>658.39</v>
      </c>
      <c r="E24">
        <v>1708.74</v>
      </c>
      <c r="F24">
        <v>3456.51</v>
      </c>
      <c r="G24">
        <v>-834.51</v>
      </c>
      <c r="H24">
        <v>1228.1199999999999</v>
      </c>
      <c r="I24">
        <v>4908.34</v>
      </c>
      <c r="J24">
        <v>-953</v>
      </c>
      <c r="K24">
        <v>-3429</v>
      </c>
    </row>
    <row r="25" spans="1:11" s="6" customFormat="1" x14ac:dyDescent="0.35">
      <c r="A25" s="6" t="s">
        <v>20</v>
      </c>
      <c r="B25">
        <v>-2669.62</v>
      </c>
      <c r="C25">
        <v>1869.1</v>
      </c>
      <c r="D25">
        <v>5932.73</v>
      </c>
      <c r="E25">
        <v>-26686.25</v>
      </c>
      <c r="F25">
        <v>101.71</v>
      </c>
      <c r="G25">
        <v>-11117.83</v>
      </c>
      <c r="H25">
        <v>2424.0500000000002</v>
      </c>
      <c r="I25">
        <v>6663.97</v>
      </c>
      <c r="J25">
        <v>4792</v>
      </c>
      <c r="K25">
        <v>11774</v>
      </c>
    </row>
    <row r="26" spans="1:11" s="6" customFormat="1" x14ac:dyDescent="0.35">
      <c r="A26" s="6" t="s">
        <v>21</v>
      </c>
      <c r="B26">
        <v>16710.78</v>
      </c>
      <c r="C26">
        <v>17904.990000000002</v>
      </c>
      <c r="D26">
        <v>21553.59</v>
      </c>
      <c r="E26">
        <v>23590.63</v>
      </c>
      <c r="F26">
        <v>21425.43</v>
      </c>
      <c r="G26">
        <v>23546.71</v>
      </c>
      <c r="H26">
        <v>24835.69</v>
      </c>
      <c r="I26">
        <v>24860.36</v>
      </c>
      <c r="J26">
        <v>27239</v>
      </c>
      <c r="K26">
        <v>23256</v>
      </c>
    </row>
    <row r="27" spans="1:11" s="6" customFormat="1" x14ac:dyDescent="0.35">
      <c r="A27" s="6" t="s">
        <v>22</v>
      </c>
      <c r="B27">
        <v>4889.08</v>
      </c>
      <c r="C27">
        <v>4238.01</v>
      </c>
      <c r="D27">
        <v>4681.79</v>
      </c>
      <c r="E27">
        <v>5758.6</v>
      </c>
      <c r="F27">
        <v>7243.33</v>
      </c>
      <c r="G27">
        <v>8097.17</v>
      </c>
      <c r="H27">
        <v>9311.86</v>
      </c>
      <c r="I27">
        <v>10225.48</v>
      </c>
      <c r="J27">
        <v>7594</v>
      </c>
      <c r="K27">
        <v>5083</v>
      </c>
    </row>
    <row r="28" spans="1:11" s="6" customFormat="1" x14ac:dyDescent="0.35">
      <c r="A28" s="6" t="s">
        <v>23</v>
      </c>
      <c r="B28">
        <v>14125.77</v>
      </c>
      <c r="C28">
        <v>9314.7900000000009</v>
      </c>
      <c r="D28">
        <v>11155.03</v>
      </c>
      <c r="E28">
        <v>-31371.15</v>
      </c>
      <c r="F28">
        <v>-10579.98</v>
      </c>
      <c r="G28">
        <v>-10474.280000000001</v>
      </c>
      <c r="H28">
        <v>-7003.41</v>
      </c>
      <c r="I28">
        <v>3393.93</v>
      </c>
      <c r="J28">
        <v>27783</v>
      </c>
      <c r="K28">
        <v>38651</v>
      </c>
    </row>
    <row r="29" spans="1:11" s="6" customFormat="1" x14ac:dyDescent="0.35">
      <c r="A29" s="6" t="s">
        <v>24</v>
      </c>
      <c r="B29">
        <v>3025.05</v>
      </c>
      <c r="C29">
        <v>3251.23</v>
      </c>
      <c r="D29">
        <v>4341.93</v>
      </c>
      <c r="E29">
        <v>-2437.4499999999998</v>
      </c>
      <c r="F29">
        <v>395.25</v>
      </c>
      <c r="G29">
        <v>2541.86</v>
      </c>
      <c r="H29">
        <v>4231.29</v>
      </c>
      <c r="I29">
        <v>704.06</v>
      </c>
      <c r="J29">
        <v>-4024</v>
      </c>
      <c r="K29">
        <v>10502</v>
      </c>
    </row>
    <row r="30" spans="1:11" s="6" customFormat="1" x14ac:dyDescent="0.35">
      <c r="A30" s="6" t="s">
        <v>25</v>
      </c>
      <c r="B30">
        <v>11579.31</v>
      </c>
      <c r="C30">
        <v>7454.36</v>
      </c>
      <c r="D30">
        <v>8988.91</v>
      </c>
      <c r="E30">
        <v>-28826.23</v>
      </c>
      <c r="F30">
        <v>-12070.85</v>
      </c>
      <c r="G30">
        <v>-13451.39</v>
      </c>
      <c r="H30">
        <v>-11441.47</v>
      </c>
      <c r="I30">
        <v>2414.29</v>
      </c>
      <c r="J30">
        <v>31399</v>
      </c>
      <c r="K30">
        <v>27830</v>
      </c>
    </row>
    <row r="31" spans="1:11" s="6" customFormat="1" x14ac:dyDescent="0.35">
      <c r="A31" s="6" t="s">
        <v>26</v>
      </c>
      <c r="B31">
        <v>67.92</v>
      </c>
      <c r="I31">
        <v>766.02</v>
      </c>
      <c r="J31">
        <v>2301</v>
      </c>
      <c r="K31">
        <v>2208</v>
      </c>
    </row>
    <row r="32" spans="1:11" s="6" customFormat="1" x14ac:dyDescent="0.35"/>
    <row r="33" spans="1:11" x14ac:dyDescent="0.35">
      <c r="A33" s="6"/>
    </row>
    <row r="34" spans="1:11" x14ac:dyDescent="0.35">
      <c r="A34" s="6"/>
    </row>
    <row r="35" spans="1:11" x14ac:dyDescent="0.35">
      <c r="A35" s="6"/>
    </row>
    <row r="36" spans="1:11" x14ac:dyDescent="0.35">
      <c r="A36" s="6"/>
    </row>
    <row r="37" spans="1:11" x14ac:dyDescent="0.35">
      <c r="A37" s="6"/>
    </row>
    <row r="38" spans="1:11" x14ac:dyDescent="0.35">
      <c r="A38" s="6"/>
    </row>
    <row r="39" spans="1:11" x14ac:dyDescent="0.35">
      <c r="A39" s="6"/>
    </row>
    <row r="40" spans="1:11" x14ac:dyDescent="0.35">
      <c r="A40" s="1" t="s">
        <v>27</v>
      </c>
    </row>
    <row r="41" spans="1:11" s="5" customFormat="1" x14ac:dyDescent="0.35">
      <c r="A41" s="3" t="s">
        <v>11</v>
      </c>
      <c r="B41" s="4">
        <v>44926</v>
      </c>
      <c r="C41" s="4">
        <v>45016</v>
      </c>
      <c r="D41" s="4">
        <v>45107</v>
      </c>
      <c r="E41" s="4">
        <v>45199</v>
      </c>
      <c r="F41" s="4">
        <v>45291</v>
      </c>
      <c r="G41" s="4">
        <v>45382</v>
      </c>
      <c r="H41" s="4">
        <v>45473</v>
      </c>
      <c r="I41" s="4">
        <v>45565</v>
      </c>
      <c r="J41" s="4">
        <v>45657</v>
      </c>
      <c r="K41" s="4">
        <v>45747</v>
      </c>
    </row>
    <row r="42" spans="1:11" s="6" customFormat="1" x14ac:dyDescent="0.35">
      <c r="A42" s="6" t="s">
        <v>12</v>
      </c>
      <c r="B42">
        <v>88488.59</v>
      </c>
      <c r="C42">
        <v>105932.35</v>
      </c>
      <c r="D42">
        <v>102236</v>
      </c>
      <c r="E42">
        <v>105129</v>
      </c>
      <c r="F42">
        <v>110577</v>
      </c>
      <c r="G42">
        <v>119033</v>
      </c>
      <c r="H42">
        <v>108048</v>
      </c>
      <c r="I42">
        <v>101450</v>
      </c>
      <c r="J42">
        <v>112608</v>
      </c>
      <c r="K42">
        <v>119503</v>
      </c>
    </row>
    <row r="43" spans="1:11" s="6" customFormat="1" x14ac:dyDescent="0.35">
      <c r="A43" s="6" t="s">
        <v>28</v>
      </c>
      <c r="B43">
        <v>77668.350000000006</v>
      </c>
      <c r="C43">
        <v>92817.95</v>
      </c>
      <c r="D43">
        <v>89019</v>
      </c>
      <c r="E43">
        <v>91362</v>
      </c>
      <c r="F43">
        <v>95159</v>
      </c>
      <c r="G43">
        <v>102348</v>
      </c>
      <c r="H43">
        <v>92263</v>
      </c>
      <c r="I43">
        <v>89291</v>
      </c>
      <c r="J43">
        <v>100185</v>
      </c>
      <c r="K43">
        <v>102685</v>
      </c>
    </row>
    <row r="44" spans="1:11" s="6" customFormat="1" x14ac:dyDescent="0.35">
      <c r="A44" s="6" t="s">
        <v>20</v>
      </c>
      <c r="B44">
        <v>1129.98</v>
      </c>
      <c r="C44">
        <v>1452.86</v>
      </c>
      <c r="D44">
        <v>895</v>
      </c>
      <c r="E44">
        <v>1557</v>
      </c>
      <c r="F44">
        <v>1604</v>
      </c>
      <c r="G44">
        <v>1412</v>
      </c>
      <c r="H44">
        <v>1747</v>
      </c>
      <c r="I44">
        <v>1647</v>
      </c>
      <c r="J44">
        <v>1700</v>
      </c>
      <c r="K44">
        <v>1057</v>
      </c>
    </row>
    <row r="45" spans="1:11" s="6" customFormat="1" x14ac:dyDescent="0.35">
      <c r="A45" s="6" t="s">
        <v>21</v>
      </c>
      <c r="B45">
        <v>6071.78</v>
      </c>
      <c r="C45">
        <v>7050.2</v>
      </c>
      <c r="D45">
        <v>6633</v>
      </c>
      <c r="E45">
        <v>6637</v>
      </c>
      <c r="F45">
        <v>6850</v>
      </c>
      <c r="G45">
        <v>7143</v>
      </c>
      <c r="H45">
        <v>6574</v>
      </c>
      <c r="I45">
        <v>6005</v>
      </c>
      <c r="J45">
        <v>5399</v>
      </c>
      <c r="K45">
        <v>5295</v>
      </c>
    </row>
    <row r="46" spans="1:11" s="6" customFormat="1" x14ac:dyDescent="0.35">
      <c r="A46" s="6" t="s">
        <v>22</v>
      </c>
      <c r="B46">
        <v>2675.83</v>
      </c>
      <c r="C46">
        <v>2641.67</v>
      </c>
      <c r="D46">
        <v>2615</v>
      </c>
      <c r="E46">
        <v>2652</v>
      </c>
      <c r="F46">
        <v>2485</v>
      </c>
      <c r="G46">
        <v>1645</v>
      </c>
      <c r="H46">
        <v>2088</v>
      </c>
      <c r="I46">
        <v>2034</v>
      </c>
      <c r="J46">
        <v>1119</v>
      </c>
      <c r="K46">
        <v>1076</v>
      </c>
    </row>
    <row r="47" spans="1:11" s="6" customFormat="1" x14ac:dyDescent="0.35">
      <c r="A47" s="6" t="s">
        <v>23</v>
      </c>
      <c r="B47">
        <v>3202.61</v>
      </c>
      <c r="C47">
        <v>4875.3900000000003</v>
      </c>
      <c r="D47">
        <v>4864</v>
      </c>
      <c r="E47">
        <v>6035</v>
      </c>
      <c r="F47">
        <v>7687</v>
      </c>
      <c r="G47">
        <v>9309</v>
      </c>
      <c r="H47">
        <v>8870</v>
      </c>
      <c r="I47">
        <v>5767</v>
      </c>
      <c r="J47">
        <v>7605</v>
      </c>
      <c r="K47">
        <v>11504</v>
      </c>
    </row>
    <row r="48" spans="1:11" s="6" customFormat="1" x14ac:dyDescent="0.35">
      <c r="A48" s="6" t="s">
        <v>24</v>
      </c>
      <c r="B48">
        <v>262.83</v>
      </c>
      <c r="C48">
        <v>-620.65</v>
      </c>
      <c r="D48">
        <v>1563</v>
      </c>
      <c r="E48">
        <v>2203</v>
      </c>
      <c r="F48">
        <v>542</v>
      </c>
      <c r="G48">
        <v>-8219</v>
      </c>
      <c r="H48">
        <v>3178</v>
      </c>
      <c r="I48">
        <v>2317</v>
      </c>
      <c r="J48">
        <v>2120</v>
      </c>
      <c r="K48">
        <v>2948</v>
      </c>
    </row>
    <row r="49" spans="1:11" s="6" customFormat="1" x14ac:dyDescent="0.35">
      <c r="A49" s="6" t="s">
        <v>25</v>
      </c>
      <c r="B49">
        <v>2957.71</v>
      </c>
      <c r="C49">
        <v>5407.79</v>
      </c>
      <c r="D49">
        <v>3203</v>
      </c>
      <c r="E49">
        <v>3764</v>
      </c>
      <c r="F49">
        <v>7025</v>
      </c>
      <c r="G49">
        <v>17407</v>
      </c>
      <c r="H49">
        <v>5566</v>
      </c>
      <c r="I49">
        <v>3343</v>
      </c>
      <c r="J49">
        <v>5406</v>
      </c>
      <c r="K49">
        <v>8470</v>
      </c>
    </row>
    <row r="50" spans="1:11" x14ac:dyDescent="0.35">
      <c r="A50" s="6" t="s">
        <v>29</v>
      </c>
      <c r="B50">
        <v>10820.24</v>
      </c>
      <c r="C50">
        <v>13114.4</v>
      </c>
      <c r="D50">
        <v>13217</v>
      </c>
      <c r="E50">
        <v>13767</v>
      </c>
      <c r="F50">
        <v>15418</v>
      </c>
      <c r="G50">
        <v>16685</v>
      </c>
      <c r="H50">
        <v>15785</v>
      </c>
      <c r="I50">
        <v>12159</v>
      </c>
      <c r="J50">
        <v>12423</v>
      </c>
      <c r="K50">
        <v>16818</v>
      </c>
    </row>
    <row r="51" spans="1:11" x14ac:dyDescent="0.35">
      <c r="A51" s="6"/>
    </row>
    <row r="52" spans="1:11" x14ac:dyDescent="0.35">
      <c r="A52" s="6"/>
    </row>
    <row r="53" spans="1:11" x14ac:dyDescent="0.35">
      <c r="A53" s="6"/>
    </row>
    <row r="54" spans="1:11" x14ac:dyDescent="0.35">
      <c r="A54" s="6"/>
    </row>
    <row r="55" spans="1:11" x14ac:dyDescent="0.35">
      <c r="A55" s="1" t="s">
        <v>30</v>
      </c>
    </row>
    <row r="56" spans="1:11" s="5" customFormat="1" x14ac:dyDescent="0.35">
      <c r="A56" s="3" t="s">
        <v>11</v>
      </c>
      <c r="B56" s="4">
        <v>42460</v>
      </c>
      <c r="C56" s="4">
        <v>42825</v>
      </c>
      <c r="D56" s="4">
        <v>43190</v>
      </c>
      <c r="E56" s="4">
        <v>43555</v>
      </c>
      <c r="F56" s="4">
        <v>43921</v>
      </c>
      <c r="G56" s="4">
        <v>44286</v>
      </c>
      <c r="H56" s="4">
        <v>44651</v>
      </c>
      <c r="I56" s="4">
        <v>45016</v>
      </c>
      <c r="J56" s="4">
        <v>45382</v>
      </c>
      <c r="K56" s="4">
        <v>45747</v>
      </c>
    </row>
    <row r="57" spans="1:11" x14ac:dyDescent="0.35">
      <c r="A57" s="6" t="s">
        <v>31</v>
      </c>
      <c r="B57">
        <v>679.18</v>
      </c>
      <c r="C57">
        <v>679.22</v>
      </c>
      <c r="D57">
        <v>679.22</v>
      </c>
      <c r="E57">
        <v>679.22</v>
      </c>
      <c r="F57">
        <v>719.54</v>
      </c>
      <c r="G57">
        <v>765.81</v>
      </c>
      <c r="H57">
        <v>765.88</v>
      </c>
      <c r="I57">
        <v>766.02</v>
      </c>
      <c r="J57">
        <v>767</v>
      </c>
      <c r="K57">
        <v>736</v>
      </c>
    </row>
    <row r="58" spans="1:11" x14ac:dyDescent="0.35">
      <c r="A58" s="6" t="s">
        <v>32</v>
      </c>
      <c r="B58">
        <v>78273.23</v>
      </c>
      <c r="C58">
        <v>57382.67</v>
      </c>
      <c r="D58">
        <v>94748.69</v>
      </c>
      <c r="E58">
        <v>59500.34</v>
      </c>
      <c r="F58">
        <v>62358.99</v>
      </c>
      <c r="G58">
        <v>54480.91</v>
      </c>
      <c r="H58">
        <v>43795.360000000001</v>
      </c>
      <c r="I58">
        <v>44555.77</v>
      </c>
      <c r="J58">
        <v>84151</v>
      </c>
      <c r="K58">
        <v>115408</v>
      </c>
    </row>
    <row r="59" spans="1:11" x14ac:dyDescent="0.35">
      <c r="A59" s="6" t="s">
        <v>33</v>
      </c>
      <c r="B59">
        <v>69359.960000000006</v>
      </c>
      <c r="C59">
        <v>78603.98</v>
      </c>
      <c r="D59">
        <v>88950.47</v>
      </c>
      <c r="E59">
        <v>106175.34</v>
      </c>
      <c r="F59">
        <v>124787.64</v>
      </c>
      <c r="G59">
        <v>142130.57</v>
      </c>
      <c r="H59">
        <v>146449.03</v>
      </c>
      <c r="I59">
        <v>134113.44</v>
      </c>
      <c r="J59">
        <v>107264</v>
      </c>
      <c r="K59">
        <v>71540</v>
      </c>
    </row>
    <row r="60" spans="1:11" x14ac:dyDescent="0.35">
      <c r="A60" s="6" t="s">
        <v>34</v>
      </c>
      <c r="B60">
        <v>114871.75</v>
      </c>
      <c r="C60">
        <v>135914.49</v>
      </c>
      <c r="D60">
        <v>142813.43</v>
      </c>
      <c r="E60">
        <v>139348.59</v>
      </c>
      <c r="F60">
        <v>132313.22</v>
      </c>
      <c r="G60">
        <v>144192.62</v>
      </c>
      <c r="H60">
        <v>138051.22</v>
      </c>
      <c r="I60">
        <v>155239.20000000001</v>
      </c>
      <c r="J60">
        <v>177339</v>
      </c>
      <c r="K60">
        <v>189289</v>
      </c>
    </row>
    <row r="61" spans="1:11" s="1" customFormat="1" x14ac:dyDescent="0.35">
      <c r="A61" s="1" t="s">
        <v>35</v>
      </c>
      <c r="B61">
        <v>263184.12</v>
      </c>
      <c r="C61">
        <v>272580.36</v>
      </c>
      <c r="D61">
        <v>327191.81</v>
      </c>
      <c r="E61">
        <v>305703.49</v>
      </c>
      <c r="F61">
        <v>320179.39</v>
      </c>
      <c r="G61">
        <v>341569.91</v>
      </c>
      <c r="H61">
        <v>329061.49</v>
      </c>
      <c r="I61">
        <v>334674.43</v>
      </c>
      <c r="J61">
        <v>369521</v>
      </c>
      <c r="K61">
        <v>376973</v>
      </c>
    </row>
    <row r="62" spans="1:11" x14ac:dyDescent="0.35">
      <c r="A62" s="6" t="s">
        <v>36</v>
      </c>
      <c r="B62">
        <v>107231.76</v>
      </c>
      <c r="C62">
        <v>95944.08</v>
      </c>
      <c r="D62">
        <v>121413.86</v>
      </c>
      <c r="E62">
        <v>111234.47</v>
      </c>
      <c r="F62">
        <v>127107.14</v>
      </c>
      <c r="G62">
        <v>138707.60999999999</v>
      </c>
      <c r="H62">
        <v>138855.45000000001</v>
      </c>
      <c r="I62">
        <v>132079.76</v>
      </c>
      <c r="J62">
        <v>121285</v>
      </c>
      <c r="K62">
        <v>115697</v>
      </c>
    </row>
    <row r="63" spans="1:11" x14ac:dyDescent="0.35">
      <c r="A63" s="6" t="s">
        <v>37</v>
      </c>
      <c r="B63">
        <v>25918.94</v>
      </c>
      <c r="C63">
        <v>33698.839999999997</v>
      </c>
      <c r="D63">
        <v>40033.5</v>
      </c>
      <c r="E63">
        <v>31883.84</v>
      </c>
      <c r="F63">
        <v>35622.29</v>
      </c>
      <c r="G63">
        <v>20963.93</v>
      </c>
      <c r="H63">
        <v>10251.09</v>
      </c>
      <c r="I63">
        <v>14274.5</v>
      </c>
      <c r="J63">
        <v>35698</v>
      </c>
      <c r="K63">
        <v>65806</v>
      </c>
    </row>
    <row r="64" spans="1:11" x14ac:dyDescent="0.35">
      <c r="A64" s="6" t="s">
        <v>38</v>
      </c>
      <c r="B64">
        <v>23767.02</v>
      </c>
      <c r="C64">
        <v>20337.919999999998</v>
      </c>
      <c r="D64">
        <v>20812.75</v>
      </c>
      <c r="E64">
        <v>15770.72</v>
      </c>
      <c r="F64">
        <v>16308.48</v>
      </c>
      <c r="G64">
        <v>24620.28</v>
      </c>
      <c r="H64">
        <v>29379.53</v>
      </c>
      <c r="I64">
        <v>26379.16</v>
      </c>
      <c r="J64">
        <v>22971</v>
      </c>
      <c r="K64">
        <v>35656</v>
      </c>
    </row>
    <row r="65" spans="1:11" x14ac:dyDescent="0.35">
      <c r="A65" s="6" t="s">
        <v>39</v>
      </c>
      <c r="B65">
        <v>106266.4</v>
      </c>
      <c r="C65">
        <v>122599.52</v>
      </c>
      <c r="D65">
        <v>144931.70000000001</v>
      </c>
      <c r="E65">
        <v>146814.46</v>
      </c>
      <c r="F65">
        <v>141141.48000000001</v>
      </c>
      <c r="G65">
        <v>157278.09</v>
      </c>
      <c r="H65">
        <v>150575.42000000001</v>
      </c>
      <c r="I65">
        <v>161941.01</v>
      </c>
      <c r="J65">
        <v>189567</v>
      </c>
      <c r="K65">
        <v>159814</v>
      </c>
    </row>
    <row r="66" spans="1:11" s="1" customFormat="1" x14ac:dyDescent="0.35">
      <c r="A66" s="1" t="s">
        <v>35</v>
      </c>
      <c r="B66">
        <v>263184.12</v>
      </c>
      <c r="C66">
        <v>272580.36</v>
      </c>
      <c r="D66">
        <v>327191.81</v>
      </c>
      <c r="E66">
        <v>305703.49</v>
      </c>
      <c r="F66">
        <v>320179.39</v>
      </c>
      <c r="G66">
        <v>341569.91</v>
      </c>
      <c r="H66">
        <v>329061.49</v>
      </c>
      <c r="I66">
        <v>334674.43</v>
      </c>
      <c r="J66">
        <v>369521</v>
      </c>
      <c r="K66">
        <v>376973</v>
      </c>
    </row>
    <row r="67" spans="1:11" s="6" customFormat="1" x14ac:dyDescent="0.35">
      <c r="A67" s="6" t="s">
        <v>40</v>
      </c>
      <c r="B67">
        <v>13570.91</v>
      </c>
      <c r="C67">
        <v>14075.55</v>
      </c>
      <c r="D67">
        <v>19893.3</v>
      </c>
      <c r="E67">
        <v>18996.169999999998</v>
      </c>
      <c r="F67">
        <v>11172.69</v>
      </c>
      <c r="G67">
        <v>12679.08</v>
      </c>
      <c r="H67">
        <v>12442.12</v>
      </c>
      <c r="I67">
        <v>15737.97</v>
      </c>
      <c r="J67">
        <v>16952</v>
      </c>
      <c r="K67">
        <v>13248</v>
      </c>
    </row>
    <row r="68" spans="1:11" x14ac:dyDescent="0.35">
      <c r="A68" s="6" t="s">
        <v>41</v>
      </c>
      <c r="B68">
        <v>32655.73</v>
      </c>
      <c r="C68">
        <v>35085.31</v>
      </c>
      <c r="D68">
        <v>42137.63</v>
      </c>
      <c r="E68">
        <v>39013.730000000003</v>
      </c>
      <c r="F68">
        <v>37456.879999999997</v>
      </c>
      <c r="G68">
        <v>36088.589999999997</v>
      </c>
      <c r="H68">
        <v>35240.339999999997</v>
      </c>
      <c r="I68">
        <v>40755.39</v>
      </c>
      <c r="J68">
        <v>47788</v>
      </c>
      <c r="K68">
        <v>47269</v>
      </c>
    </row>
    <row r="69" spans="1:11" x14ac:dyDescent="0.35">
      <c r="A69" s="2" t="s">
        <v>42</v>
      </c>
      <c r="B69">
        <v>30460.400000000001</v>
      </c>
      <c r="C69">
        <v>36077.879999999997</v>
      </c>
      <c r="D69">
        <v>34613.910000000003</v>
      </c>
      <c r="E69">
        <v>32648.82</v>
      </c>
      <c r="F69">
        <v>33726.97</v>
      </c>
      <c r="G69">
        <v>46792.46</v>
      </c>
      <c r="H69">
        <v>40669.19</v>
      </c>
      <c r="I69">
        <v>37015.56</v>
      </c>
      <c r="J69">
        <v>45807</v>
      </c>
      <c r="K69">
        <v>40834</v>
      </c>
    </row>
    <row r="70" spans="1:11" x14ac:dyDescent="0.35">
      <c r="A70" s="2" t="s">
        <v>43</v>
      </c>
      <c r="B70">
        <v>3395930306</v>
      </c>
      <c r="C70">
        <v>3396100719</v>
      </c>
      <c r="D70">
        <v>3396100719</v>
      </c>
      <c r="E70">
        <v>3396100719</v>
      </c>
      <c r="F70">
        <v>3597726185</v>
      </c>
      <c r="G70">
        <v>3829060661</v>
      </c>
      <c r="H70">
        <v>3829414903</v>
      </c>
      <c r="I70">
        <v>3830097221</v>
      </c>
      <c r="J70">
        <v>3832491897</v>
      </c>
      <c r="K70">
        <v>3681348742</v>
      </c>
    </row>
    <row r="71" spans="1:11" x14ac:dyDescent="0.35">
      <c r="A71" s="2" t="s">
        <v>44</v>
      </c>
    </row>
    <row r="72" spans="1:11" x14ac:dyDescent="0.35">
      <c r="A72" s="2" t="s">
        <v>45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4" spans="1:11" x14ac:dyDescent="0.35">
      <c r="A74" s="6"/>
    </row>
    <row r="75" spans="1:11" x14ac:dyDescent="0.35">
      <c r="A75" s="6"/>
    </row>
    <row r="76" spans="1:11" x14ac:dyDescent="0.35">
      <c r="A76" s="6"/>
    </row>
    <row r="77" spans="1:11" x14ac:dyDescent="0.35">
      <c r="A77" s="6"/>
    </row>
    <row r="78" spans="1:11" x14ac:dyDescent="0.35">
      <c r="A78" s="6"/>
    </row>
    <row r="79" spans="1:11" x14ac:dyDescent="0.35">
      <c r="A79" s="6"/>
    </row>
    <row r="80" spans="1:11" x14ac:dyDescent="0.35">
      <c r="A80" s="1" t="s">
        <v>46</v>
      </c>
    </row>
    <row r="81" spans="1:11" s="5" customFormat="1" x14ac:dyDescent="0.35">
      <c r="A81" s="3" t="s">
        <v>11</v>
      </c>
      <c r="B81" s="4">
        <v>42460</v>
      </c>
      <c r="C81" s="4">
        <v>42825</v>
      </c>
      <c r="D81" s="4">
        <v>43190</v>
      </c>
      <c r="E81" s="4">
        <v>43555</v>
      </c>
      <c r="F81" s="4">
        <v>43921</v>
      </c>
      <c r="G81" s="4">
        <v>44286</v>
      </c>
      <c r="H81" s="4">
        <v>44651</v>
      </c>
      <c r="I81" s="4">
        <v>45016</v>
      </c>
      <c r="J81" s="4">
        <v>45382</v>
      </c>
      <c r="K81" s="4">
        <v>45747</v>
      </c>
    </row>
    <row r="82" spans="1:11" s="1" customFormat="1" x14ac:dyDescent="0.35">
      <c r="A82" s="6" t="s">
        <v>47</v>
      </c>
      <c r="B82">
        <v>37899.54</v>
      </c>
      <c r="C82">
        <v>30199.25</v>
      </c>
      <c r="D82">
        <v>23857.42</v>
      </c>
      <c r="E82">
        <v>18890.75</v>
      </c>
      <c r="F82">
        <v>26632.94</v>
      </c>
      <c r="G82">
        <v>29000.51</v>
      </c>
      <c r="H82">
        <v>14282.83</v>
      </c>
      <c r="I82">
        <v>35388.01</v>
      </c>
      <c r="J82">
        <v>67915</v>
      </c>
      <c r="K82">
        <v>63102</v>
      </c>
    </row>
    <row r="83" spans="1:11" s="6" customFormat="1" x14ac:dyDescent="0.35">
      <c r="A83" s="6" t="s">
        <v>48</v>
      </c>
      <c r="B83">
        <v>-36693.9</v>
      </c>
      <c r="C83">
        <v>-39571.4</v>
      </c>
      <c r="D83">
        <v>-25139.14</v>
      </c>
      <c r="E83">
        <v>-20878.07</v>
      </c>
      <c r="F83">
        <v>-33114.550000000003</v>
      </c>
      <c r="G83">
        <v>-25672.5</v>
      </c>
      <c r="H83">
        <v>-4443.66</v>
      </c>
      <c r="I83">
        <v>-15417.17</v>
      </c>
      <c r="J83">
        <v>-22781</v>
      </c>
      <c r="K83">
        <v>-49982</v>
      </c>
    </row>
    <row r="84" spans="1:11" s="6" customFormat="1" x14ac:dyDescent="0.35">
      <c r="A84" s="6" t="s">
        <v>49</v>
      </c>
      <c r="B84">
        <v>-3795.12</v>
      </c>
      <c r="C84">
        <v>6205.3</v>
      </c>
      <c r="D84">
        <v>2011.71</v>
      </c>
      <c r="E84">
        <v>8830.3700000000008</v>
      </c>
      <c r="F84">
        <v>3389.61</v>
      </c>
      <c r="G84">
        <v>9904.2000000000007</v>
      </c>
      <c r="H84">
        <v>-3380.17</v>
      </c>
      <c r="I84">
        <v>-26242.9</v>
      </c>
      <c r="J84">
        <v>-37006</v>
      </c>
      <c r="K84">
        <v>-18786</v>
      </c>
    </row>
    <row r="85" spans="1:11" s="1" customFormat="1" x14ac:dyDescent="0.35">
      <c r="A85" s="6" t="s">
        <v>50</v>
      </c>
      <c r="B85">
        <v>-2589.48</v>
      </c>
      <c r="C85">
        <v>-3166.85</v>
      </c>
      <c r="D85">
        <v>729.99</v>
      </c>
      <c r="E85">
        <v>6843.05</v>
      </c>
      <c r="F85">
        <v>-3092</v>
      </c>
      <c r="G85">
        <v>13232.21</v>
      </c>
      <c r="H85">
        <v>6459</v>
      </c>
      <c r="I85">
        <v>-6272.06</v>
      </c>
      <c r="J85">
        <v>8128</v>
      </c>
      <c r="K85">
        <v>-5666</v>
      </c>
    </row>
    <row r="86" spans="1:11" x14ac:dyDescent="0.35">
      <c r="A86" s="6"/>
    </row>
    <row r="87" spans="1:11" x14ac:dyDescent="0.35">
      <c r="A87" s="6"/>
    </row>
    <row r="88" spans="1:11" x14ac:dyDescent="0.35">
      <c r="A88" s="6"/>
    </row>
    <row r="89" spans="1:11" x14ac:dyDescent="0.35">
      <c r="A89" s="6"/>
    </row>
    <row r="90" spans="1:11" s="1" customFormat="1" x14ac:dyDescent="0.35">
      <c r="A90" s="1" t="s">
        <v>51</v>
      </c>
      <c r="B90">
        <v>386.6</v>
      </c>
      <c r="C90">
        <v>465.85</v>
      </c>
      <c r="D90">
        <v>326.85000000000002</v>
      </c>
      <c r="E90">
        <v>174.25</v>
      </c>
      <c r="F90">
        <v>71.05</v>
      </c>
      <c r="G90">
        <v>301.8</v>
      </c>
      <c r="H90">
        <v>433.75</v>
      </c>
      <c r="I90">
        <v>420.8</v>
      </c>
      <c r="J90">
        <v>992.8</v>
      </c>
      <c r="K90">
        <v>674.45</v>
      </c>
    </row>
    <row r="92" spans="1:11" s="1" customFormat="1" x14ac:dyDescent="0.35">
      <c r="A92" s="1" t="s">
        <v>52</v>
      </c>
    </row>
    <row r="93" spans="1:11" x14ac:dyDescent="0.35">
      <c r="A93" s="2" t="s">
        <v>53</v>
      </c>
      <c r="B93" s="7">
        <v>288.72000000000003</v>
      </c>
      <c r="C93" s="7">
        <v>288.73</v>
      </c>
      <c r="D93" s="7">
        <v>288.73</v>
      </c>
      <c r="E93" s="7">
        <v>288.73</v>
      </c>
      <c r="F93" s="7">
        <v>308.89999999999998</v>
      </c>
      <c r="G93" s="7">
        <v>332.03</v>
      </c>
      <c r="H93" s="7">
        <v>332.07</v>
      </c>
      <c r="I93" s="7">
        <v>332.13</v>
      </c>
      <c r="J93" s="7">
        <v>332.37</v>
      </c>
      <c r="K93" s="7">
        <v>368.13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9B475654-1CA6-4DA8-AA82-4870F023C8A2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66E81-E998-4CBC-A31B-7A15301719FA}">
  <dimension ref="B2:N37"/>
  <sheetViews>
    <sheetView topLeftCell="A2" zoomScale="98" workbookViewId="0">
      <selection activeCell="B2" sqref="B2"/>
    </sheetView>
  </sheetViews>
  <sheetFormatPr defaultRowHeight="14.5" x14ac:dyDescent="0.35"/>
  <cols>
    <col min="2" max="2" width="31.90625" bestFit="1" customWidth="1"/>
    <col min="3" max="3" width="8.26953125" bestFit="1" customWidth="1"/>
    <col min="2000" max="2000" width="2.453125" customWidth="1"/>
  </cols>
  <sheetData>
    <row r="2" spans="2:14" ht="15" thickBot="1" x14ac:dyDescent="0.4">
      <c r="C2" s="29">
        <v>41699</v>
      </c>
      <c r="D2" s="29">
        <v>42064</v>
      </c>
      <c r="E2" s="29">
        <v>42430</v>
      </c>
      <c r="F2" s="29">
        <v>42795</v>
      </c>
      <c r="G2" s="29">
        <v>43160</v>
      </c>
      <c r="H2" s="29">
        <v>43525</v>
      </c>
      <c r="I2" s="29">
        <v>43891</v>
      </c>
      <c r="J2" s="29">
        <v>44256</v>
      </c>
      <c r="K2" s="29">
        <v>44621</v>
      </c>
      <c r="L2" s="29">
        <v>44986</v>
      </c>
      <c r="M2" s="29">
        <v>45352</v>
      </c>
      <c r="N2" s="29">
        <v>45717</v>
      </c>
    </row>
    <row r="3" spans="2:14" ht="15" thickBot="1" x14ac:dyDescent="0.4">
      <c r="B3" s="30" t="s">
        <v>114</v>
      </c>
      <c r="C3" s="31">
        <v>36151</v>
      </c>
      <c r="D3" s="31">
        <v>35531</v>
      </c>
      <c r="E3" s="31">
        <v>37900</v>
      </c>
      <c r="F3" s="31">
        <v>30199</v>
      </c>
      <c r="G3" s="31">
        <v>23857</v>
      </c>
      <c r="H3" s="31">
        <v>18891</v>
      </c>
      <c r="I3" s="31">
        <v>26633</v>
      </c>
      <c r="J3" s="31">
        <v>29001</v>
      </c>
      <c r="K3" s="31">
        <v>14283</v>
      </c>
      <c r="L3" s="31">
        <v>35388</v>
      </c>
      <c r="M3" s="31">
        <v>67915</v>
      </c>
      <c r="N3" s="31">
        <v>63102</v>
      </c>
    </row>
    <row r="4" spans="2:14" x14ac:dyDescent="0.35">
      <c r="B4" s="32" t="s">
        <v>87</v>
      </c>
      <c r="C4" s="31">
        <v>36303</v>
      </c>
      <c r="D4" s="31">
        <v>43397</v>
      </c>
      <c r="E4" s="31">
        <v>38626</v>
      </c>
      <c r="F4" s="31">
        <v>28840</v>
      </c>
      <c r="G4" s="31">
        <v>33312</v>
      </c>
      <c r="H4" s="31">
        <v>28771</v>
      </c>
      <c r="I4" s="31">
        <v>23352</v>
      </c>
      <c r="J4" s="31">
        <v>31198</v>
      </c>
      <c r="K4" s="31">
        <v>26943</v>
      </c>
      <c r="L4" s="31">
        <v>41694</v>
      </c>
      <c r="M4" s="31">
        <v>65106</v>
      </c>
      <c r="N4" s="31">
        <v>58937</v>
      </c>
    </row>
    <row r="5" spans="2:14" x14ac:dyDescent="0.35">
      <c r="B5" s="33" t="s">
        <v>40</v>
      </c>
      <c r="C5" s="34">
        <v>445</v>
      </c>
      <c r="D5" s="35">
        <v>-3179</v>
      </c>
      <c r="E5" s="35">
        <v>-2223</v>
      </c>
      <c r="F5" s="35">
        <v>-4152</v>
      </c>
      <c r="G5" s="35">
        <v>-10688</v>
      </c>
      <c r="H5" s="35">
        <v>-9109</v>
      </c>
      <c r="I5" s="35">
        <v>9950</v>
      </c>
      <c r="J5" s="35">
        <v>-5505</v>
      </c>
      <c r="K5" s="34">
        <v>185</v>
      </c>
      <c r="L5" s="35">
        <v>-2213</v>
      </c>
      <c r="M5" s="35">
        <v>-1876</v>
      </c>
      <c r="N5" s="35">
        <v>3573</v>
      </c>
    </row>
    <row r="6" spans="2:14" x14ac:dyDescent="0.35">
      <c r="B6" s="33" t="s">
        <v>41</v>
      </c>
      <c r="C6" s="35">
        <v>-2853</v>
      </c>
      <c r="D6" s="35">
        <v>-3692</v>
      </c>
      <c r="E6" s="35">
        <v>-5743</v>
      </c>
      <c r="F6" s="35">
        <v>-6621</v>
      </c>
      <c r="G6" s="35">
        <v>-3560</v>
      </c>
      <c r="H6" s="35">
        <v>2069</v>
      </c>
      <c r="I6" s="35">
        <v>2326</v>
      </c>
      <c r="J6" s="35">
        <v>3814</v>
      </c>
      <c r="K6" s="34">
        <v>472</v>
      </c>
      <c r="L6" s="35">
        <v>-5665</v>
      </c>
      <c r="M6" s="35">
        <v>-7265</v>
      </c>
      <c r="N6" s="35">
        <v>2127</v>
      </c>
    </row>
    <row r="7" spans="2:14" x14ac:dyDescent="0.35">
      <c r="B7" s="33" t="s">
        <v>88</v>
      </c>
      <c r="C7" s="35">
        <v>4694</v>
      </c>
      <c r="D7" s="35">
        <v>3598</v>
      </c>
      <c r="E7" s="35">
        <v>3947</v>
      </c>
      <c r="F7" s="35">
        <v>9301</v>
      </c>
      <c r="G7" s="35">
        <v>7320</v>
      </c>
      <c r="H7" s="35">
        <v>-4692</v>
      </c>
      <c r="I7" s="35">
        <v>-8085</v>
      </c>
      <c r="J7" s="35">
        <v>5748</v>
      </c>
      <c r="K7" s="35">
        <v>-7012</v>
      </c>
      <c r="L7" s="35">
        <v>6945</v>
      </c>
      <c r="M7" s="35">
        <v>13706</v>
      </c>
      <c r="N7" s="35">
        <v>1303</v>
      </c>
    </row>
    <row r="8" spans="2:14" x14ac:dyDescent="0.35">
      <c r="B8" s="33" t="s">
        <v>89</v>
      </c>
      <c r="C8" s="34">
        <v>0</v>
      </c>
      <c r="D8" s="34">
        <v>0</v>
      </c>
      <c r="E8" s="34">
        <v>-520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</row>
    <row r="9" spans="2:14" ht="15" thickBot="1" x14ac:dyDescent="0.4">
      <c r="B9" s="33" t="s">
        <v>90</v>
      </c>
      <c r="C9" s="35">
        <v>1870</v>
      </c>
      <c r="D9" s="34">
        <v>-398</v>
      </c>
      <c r="E9" s="35">
        <v>5852</v>
      </c>
      <c r="F9" s="35">
        <v>4727</v>
      </c>
      <c r="G9" s="34">
        <v>494</v>
      </c>
      <c r="H9" s="35">
        <v>4512</v>
      </c>
      <c r="I9" s="34">
        <v>875</v>
      </c>
      <c r="J9" s="35">
        <v>-4150</v>
      </c>
      <c r="K9" s="35">
        <v>-4396</v>
      </c>
      <c r="L9" s="35">
        <v>-2194</v>
      </c>
      <c r="M9" s="35">
        <v>2760</v>
      </c>
      <c r="N9" s="35">
        <v>1153</v>
      </c>
    </row>
    <row r="10" spans="2:14" x14ac:dyDescent="0.35">
      <c r="B10" s="32" t="s">
        <v>91</v>
      </c>
      <c r="C10" s="31">
        <v>4157</v>
      </c>
      <c r="D10" s="31">
        <v>-3672</v>
      </c>
      <c r="E10" s="31">
        <v>1313</v>
      </c>
      <c r="F10" s="31">
        <v>3254</v>
      </c>
      <c r="G10" s="31">
        <v>-6434</v>
      </c>
      <c r="H10" s="31">
        <v>-7221</v>
      </c>
      <c r="I10" s="31">
        <v>5065</v>
      </c>
      <c r="J10" s="36">
        <v>-93</v>
      </c>
      <c r="K10" s="31">
        <v>-10750</v>
      </c>
      <c r="L10" s="31">
        <v>-3127</v>
      </c>
      <c r="M10" s="31">
        <v>7325</v>
      </c>
      <c r="N10" s="31">
        <v>8156</v>
      </c>
    </row>
    <row r="11" spans="2:14" ht="15" thickBot="1" x14ac:dyDescent="0.4">
      <c r="B11" s="33" t="s">
        <v>92</v>
      </c>
      <c r="C11" s="35">
        <v>-4308</v>
      </c>
      <c r="D11" s="35">
        <v>-4194</v>
      </c>
      <c r="E11" s="35">
        <v>-2040</v>
      </c>
      <c r="F11" s="35">
        <v>-1895</v>
      </c>
      <c r="G11" s="35">
        <v>-3021</v>
      </c>
      <c r="H11" s="35">
        <v>-2659</v>
      </c>
      <c r="I11" s="35">
        <v>-1785</v>
      </c>
      <c r="J11" s="35">
        <v>-2105</v>
      </c>
      <c r="K11" s="35">
        <v>-1910</v>
      </c>
      <c r="L11" s="35">
        <v>-3179</v>
      </c>
      <c r="M11" s="35">
        <v>-4516</v>
      </c>
      <c r="N11" s="35">
        <v>-3991</v>
      </c>
    </row>
    <row r="12" spans="2:14" x14ac:dyDescent="0.35">
      <c r="B12" s="37" t="s">
        <v>115</v>
      </c>
      <c r="C12" s="38">
        <v>-27991</v>
      </c>
      <c r="D12" s="38">
        <v>-36232</v>
      </c>
      <c r="E12" s="38">
        <v>-36694</v>
      </c>
      <c r="F12" s="38">
        <v>-39571</v>
      </c>
      <c r="G12" s="38">
        <v>-25139</v>
      </c>
      <c r="H12" s="38">
        <v>-20878</v>
      </c>
      <c r="I12" s="38">
        <v>-33115</v>
      </c>
      <c r="J12" s="38">
        <v>-25672</v>
      </c>
      <c r="K12" s="38">
        <v>-4444</v>
      </c>
      <c r="L12" s="38">
        <v>-15417</v>
      </c>
      <c r="M12" s="38">
        <v>-22781</v>
      </c>
      <c r="N12" s="38">
        <v>-49982</v>
      </c>
    </row>
    <row r="13" spans="2:14" x14ac:dyDescent="0.35">
      <c r="B13" s="39" t="s">
        <v>93</v>
      </c>
      <c r="C13" s="40">
        <v>-26975</v>
      </c>
      <c r="D13" s="40">
        <v>-31962</v>
      </c>
      <c r="E13" s="40">
        <v>-31503</v>
      </c>
      <c r="F13" s="40">
        <v>-16072</v>
      </c>
      <c r="G13" s="40">
        <v>-35079</v>
      </c>
      <c r="H13" s="40">
        <v>-35304</v>
      </c>
      <c r="I13" s="40">
        <v>-29702</v>
      </c>
      <c r="J13" s="40">
        <v>-20205</v>
      </c>
      <c r="K13" s="40">
        <v>-15168</v>
      </c>
      <c r="L13" s="40">
        <v>-19230</v>
      </c>
      <c r="M13" s="40">
        <v>-31414</v>
      </c>
      <c r="N13" s="40">
        <v>-38042</v>
      </c>
    </row>
    <row r="14" spans="2:14" x14ac:dyDescent="0.35">
      <c r="B14" s="39" t="s">
        <v>94</v>
      </c>
      <c r="C14" s="41">
        <v>50</v>
      </c>
      <c r="D14" s="41">
        <v>74</v>
      </c>
      <c r="E14" s="41">
        <v>59</v>
      </c>
      <c r="F14" s="41">
        <v>53</v>
      </c>
      <c r="G14" s="41">
        <v>30</v>
      </c>
      <c r="H14" s="41">
        <v>67</v>
      </c>
      <c r="I14" s="41">
        <v>171</v>
      </c>
      <c r="J14" s="41">
        <v>351</v>
      </c>
      <c r="K14" s="41">
        <v>230</v>
      </c>
      <c r="L14" s="41">
        <v>285</v>
      </c>
      <c r="M14" s="41">
        <v>231</v>
      </c>
      <c r="N14" s="41">
        <v>974</v>
      </c>
    </row>
    <row r="15" spans="2:14" x14ac:dyDescent="0.35">
      <c r="B15" s="39" t="s">
        <v>95</v>
      </c>
      <c r="C15" s="41">
        <v>-429</v>
      </c>
      <c r="D15" s="40">
        <v>-5461</v>
      </c>
      <c r="E15" s="40">
        <v>-4728</v>
      </c>
      <c r="F15" s="41">
        <v>-6</v>
      </c>
      <c r="G15" s="41">
        <v>-329</v>
      </c>
      <c r="H15" s="41">
        <v>-130</v>
      </c>
      <c r="I15" s="40">
        <v>-1439</v>
      </c>
      <c r="J15" s="40">
        <v>-7530</v>
      </c>
      <c r="K15" s="40">
        <v>-3008</v>
      </c>
      <c r="L15" s="41">
        <v>-50</v>
      </c>
      <c r="M15" s="41">
        <v>-74</v>
      </c>
      <c r="N15" s="40">
        <v>-12677</v>
      </c>
    </row>
    <row r="16" spans="2:14" x14ac:dyDescent="0.35">
      <c r="B16" s="39" t="s">
        <v>96</v>
      </c>
      <c r="C16" s="41">
        <v>4</v>
      </c>
      <c r="D16" s="41">
        <v>42</v>
      </c>
      <c r="E16" s="41">
        <v>89</v>
      </c>
      <c r="F16" s="40">
        <v>1965</v>
      </c>
      <c r="G16" s="40">
        <v>2381</v>
      </c>
      <c r="H16" s="40">
        <v>5644</v>
      </c>
      <c r="I16" s="41">
        <v>21</v>
      </c>
      <c r="J16" s="41">
        <v>226</v>
      </c>
      <c r="K16" s="41">
        <v>104</v>
      </c>
      <c r="L16" s="40">
        <v>6895</v>
      </c>
      <c r="M16" s="40">
        <v>10821</v>
      </c>
      <c r="N16" s="41">
        <v>111</v>
      </c>
    </row>
    <row r="17" spans="2:14" x14ac:dyDescent="0.35">
      <c r="B17" s="39" t="s">
        <v>97</v>
      </c>
      <c r="C17" s="41">
        <v>653</v>
      </c>
      <c r="D17" s="41">
        <v>698</v>
      </c>
      <c r="E17" s="41">
        <v>731</v>
      </c>
      <c r="F17" s="41">
        <v>638</v>
      </c>
      <c r="G17" s="41">
        <v>690</v>
      </c>
      <c r="H17" s="41">
        <v>761</v>
      </c>
      <c r="I17" s="40">
        <v>1104</v>
      </c>
      <c r="J17" s="41">
        <v>428</v>
      </c>
      <c r="K17" s="41">
        <v>653</v>
      </c>
      <c r="L17" s="41">
        <v>973</v>
      </c>
      <c r="M17" s="40">
        <v>2493</v>
      </c>
      <c r="N17" s="40">
        <v>2420</v>
      </c>
    </row>
    <row r="18" spans="2:14" x14ac:dyDescent="0.35">
      <c r="B18" s="39" t="s">
        <v>98</v>
      </c>
      <c r="C18" s="41">
        <v>40</v>
      </c>
      <c r="D18" s="41">
        <v>80</v>
      </c>
      <c r="E18" s="41">
        <v>58</v>
      </c>
      <c r="F18" s="41">
        <v>620</v>
      </c>
      <c r="G18" s="40">
        <v>1797</v>
      </c>
      <c r="H18" s="41">
        <v>232</v>
      </c>
      <c r="I18" s="41">
        <v>21</v>
      </c>
      <c r="J18" s="41">
        <v>18</v>
      </c>
      <c r="K18" s="41">
        <v>32</v>
      </c>
      <c r="L18" s="41">
        <v>46</v>
      </c>
      <c r="M18" s="41">
        <v>47</v>
      </c>
      <c r="N18" s="41">
        <v>64</v>
      </c>
    </row>
    <row r="19" spans="2:14" x14ac:dyDescent="0.35">
      <c r="B19" s="39" t="s">
        <v>99</v>
      </c>
      <c r="C19" s="41">
        <v>0</v>
      </c>
      <c r="D19" s="41">
        <v>-160</v>
      </c>
      <c r="E19" s="41">
        <v>0</v>
      </c>
      <c r="F19" s="41">
        <v>-107</v>
      </c>
      <c r="G19" s="41">
        <v>-4</v>
      </c>
      <c r="H19" s="41">
        <v>-9</v>
      </c>
      <c r="I19" s="41">
        <v>-606</v>
      </c>
      <c r="J19" s="41">
        <v>-10</v>
      </c>
      <c r="K19" s="41">
        <v>0</v>
      </c>
      <c r="L19" s="41">
        <v>0</v>
      </c>
      <c r="M19" s="41">
        <v>-150</v>
      </c>
      <c r="N19" s="41">
        <v>0</v>
      </c>
    </row>
    <row r="20" spans="2:14" x14ac:dyDescent="0.35">
      <c r="B20" s="39" t="s">
        <v>100</v>
      </c>
      <c r="C20" s="41">
        <v>0</v>
      </c>
      <c r="D20" s="41">
        <v>0</v>
      </c>
      <c r="E20" s="41">
        <v>0</v>
      </c>
      <c r="F20" s="41">
        <v>0</v>
      </c>
      <c r="G20" s="41">
        <v>14</v>
      </c>
      <c r="H20" s="41">
        <v>533</v>
      </c>
      <c r="I20" s="41">
        <v>0</v>
      </c>
      <c r="J20" s="41">
        <v>0</v>
      </c>
      <c r="K20" s="41">
        <v>0</v>
      </c>
      <c r="L20" s="41">
        <v>19</v>
      </c>
      <c r="M20" s="41">
        <v>107</v>
      </c>
      <c r="N20" s="41">
        <v>765</v>
      </c>
    </row>
    <row r="21" spans="2:14" x14ac:dyDescent="0.35">
      <c r="B21" s="39" t="s">
        <v>101</v>
      </c>
      <c r="C21" s="41">
        <v>-185</v>
      </c>
      <c r="D21" s="41">
        <v>0</v>
      </c>
      <c r="E21" s="41">
        <v>-111</v>
      </c>
      <c r="F21" s="41">
        <v>0</v>
      </c>
      <c r="G21" s="41">
        <v>0</v>
      </c>
      <c r="H21" s="41">
        <v>-8</v>
      </c>
      <c r="I21" s="41">
        <v>-27</v>
      </c>
      <c r="J21" s="41">
        <v>0</v>
      </c>
      <c r="K21" s="41">
        <v>-98</v>
      </c>
      <c r="L21" s="41">
        <v>0</v>
      </c>
      <c r="M21" s="41">
        <v>0</v>
      </c>
      <c r="N21" s="41">
        <v>-688</v>
      </c>
    </row>
    <row r="22" spans="2:14" x14ac:dyDescent="0.35">
      <c r="B22" s="39" t="s">
        <v>102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-25</v>
      </c>
      <c r="N22" s="41">
        <v>-20</v>
      </c>
    </row>
    <row r="23" spans="2:14" ht="15" thickBot="1" x14ac:dyDescent="0.4">
      <c r="B23" s="39" t="s">
        <v>103</v>
      </c>
      <c r="C23" s="40">
        <v>-1149</v>
      </c>
      <c r="D23" s="41">
        <v>456</v>
      </c>
      <c r="E23" s="40">
        <v>-1289</v>
      </c>
      <c r="F23" s="40">
        <v>-26663</v>
      </c>
      <c r="G23" s="40">
        <v>5360</v>
      </c>
      <c r="H23" s="40">
        <v>7335</v>
      </c>
      <c r="I23" s="40">
        <v>-2659</v>
      </c>
      <c r="J23" s="40">
        <v>1051</v>
      </c>
      <c r="K23" s="40">
        <v>12813</v>
      </c>
      <c r="L23" s="40">
        <v>-4357</v>
      </c>
      <c r="M23" s="40">
        <v>-4817</v>
      </c>
      <c r="N23" s="40">
        <v>-2889</v>
      </c>
    </row>
    <row r="24" spans="2:14" x14ac:dyDescent="0.35">
      <c r="B24" s="30" t="s">
        <v>116</v>
      </c>
      <c r="C24" s="31">
        <v>-3883</v>
      </c>
      <c r="D24" s="31">
        <v>5201</v>
      </c>
      <c r="E24" s="31">
        <v>-3795</v>
      </c>
      <c r="F24" s="31">
        <v>6205</v>
      </c>
      <c r="G24" s="31">
        <v>2012</v>
      </c>
      <c r="H24" s="31">
        <v>8830</v>
      </c>
      <c r="I24" s="31">
        <v>3390</v>
      </c>
      <c r="J24" s="31">
        <v>9904</v>
      </c>
      <c r="K24" s="31">
        <v>-3380</v>
      </c>
      <c r="L24" s="31">
        <v>-26243</v>
      </c>
      <c r="M24" s="31">
        <v>-37006</v>
      </c>
      <c r="N24" s="31">
        <v>-18786</v>
      </c>
    </row>
    <row r="25" spans="2:14" x14ac:dyDescent="0.35">
      <c r="B25" s="33" t="s">
        <v>104</v>
      </c>
      <c r="C25" s="34">
        <v>0</v>
      </c>
      <c r="D25" s="34">
        <v>0</v>
      </c>
      <c r="E25" s="35">
        <v>7433</v>
      </c>
      <c r="F25" s="34">
        <v>5</v>
      </c>
      <c r="G25" s="34">
        <v>0</v>
      </c>
      <c r="H25" s="34">
        <v>0</v>
      </c>
      <c r="I25" s="35">
        <v>3889</v>
      </c>
      <c r="J25" s="35">
        <v>2603</v>
      </c>
      <c r="K25" s="34">
        <v>19</v>
      </c>
      <c r="L25" s="34">
        <v>20</v>
      </c>
      <c r="M25" s="34">
        <v>82</v>
      </c>
      <c r="N25" s="35">
        <v>1108</v>
      </c>
    </row>
    <row r="26" spans="2:14" x14ac:dyDescent="0.35">
      <c r="B26" s="33" t="s">
        <v>105</v>
      </c>
      <c r="C26" s="34">
        <v>-658</v>
      </c>
      <c r="D26" s="34">
        <v>-744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</row>
    <row r="27" spans="2:14" x14ac:dyDescent="0.35">
      <c r="B27" s="33" t="s">
        <v>106</v>
      </c>
      <c r="C27" s="35">
        <v>33258</v>
      </c>
      <c r="D27" s="35">
        <v>36363</v>
      </c>
      <c r="E27" s="35">
        <v>19519</v>
      </c>
      <c r="F27" s="35">
        <v>33390</v>
      </c>
      <c r="G27" s="35">
        <v>37482</v>
      </c>
      <c r="H27" s="35">
        <v>51128</v>
      </c>
      <c r="I27" s="35">
        <v>38297</v>
      </c>
      <c r="J27" s="35">
        <v>46641</v>
      </c>
      <c r="K27" s="35">
        <v>46578</v>
      </c>
      <c r="L27" s="35">
        <v>43934</v>
      </c>
      <c r="M27" s="35">
        <v>18829</v>
      </c>
      <c r="N27" s="35">
        <v>13384</v>
      </c>
    </row>
    <row r="28" spans="2:14" x14ac:dyDescent="0.35">
      <c r="B28" s="33" t="s">
        <v>107</v>
      </c>
      <c r="C28" s="35">
        <v>-29141</v>
      </c>
      <c r="D28" s="35">
        <v>-23332</v>
      </c>
      <c r="E28" s="35">
        <v>-24924</v>
      </c>
      <c r="F28" s="35">
        <v>-21732</v>
      </c>
      <c r="G28" s="35">
        <v>-29964</v>
      </c>
      <c r="H28" s="35">
        <v>-35198</v>
      </c>
      <c r="I28" s="35">
        <v>-29847</v>
      </c>
      <c r="J28" s="35">
        <v>-29709</v>
      </c>
      <c r="K28" s="35">
        <v>-42816</v>
      </c>
      <c r="L28" s="35">
        <v>-62557</v>
      </c>
      <c r="M28" s="35">
        <v>-47414</v>
      </c>
      <c r="N28" s="35">
        <v>-21443</v>
      </c>
    </row>
    <row r="29" spans="2:14" x14ac:dyDescent="0.35">
      <c r="B29" s="33" t="s">
        <v>108</v>
      </c>
      <c r="C29" s="35">
        <v>-6171</v>
      </c>
      <c r="D29" s="35">
        <v>-6307</v>
      </c>
      <c r="E29" s="35">
        <v>-5716</v>
      </c>
      <c r="F29" s="35">
        <v>-5336</v>
      </c>
      <c r="G29" s="35">
        <v>-5411</v>
      </c>
      <c r="H29" s="35">
        <v>-7005</v>
      </c>
      <c r="I29" s="35">
        <v>-7518</v>
      </c>
      <c r="J29" s="35">
        <v>-8123</v>
      </c>
      <c r="K29" s="35">
        <v>-9251</v>
      </c>
      <c r="L29" s="35">
        <v>-9336</v>
      </c>
      <c r="M29" s="35">
        <v>-9332</v>
      </c>
      <c r="N29" s="35">
        <v>-5814</v>
      </c>
    </row>
    <row r="30" spans="2:14" x14ac:dyDescent="0.35">
      <c r="B30" s="33" t="s">
        <v>109</v>
      </c>
      <c r="C30" s="34">
        <v>-722</v>
      </c>
      <c r="D30" s="34">
        <v>-720</v>
      </c>
      <c r="E30" s="34">
        <v>-108</v>
      </c>
      <c r="F30" s="34">
        <v>-121</v>
      </c>
      <c r="G30" s="34">
        <v>-96</v>
      </c>
      <c r="H30" s="34">
        <v>-95</v>
      </c>
      <c r="I30" s="34">
        <v>-57</v>
      </c>
      <c r="J30" s="34">
        <v>-30</v>
      </c>
      <c r="K30" s="34">
        <v>-100</v>
      </c>
      <c r="L30" s="34">
        <v>-141</v>
      </c>
      <c r="M30" s="35">
        <v>-1059</v>
      </c>
      <c r="N30" s="35">
        <v>-2492</v>
      </c>
    </row>
    <row r="31" spans="2:14" x14ac:dyDescent="0.35">
      <c r="B31" s="33" t="s">
        <v>110</v>
      </c>
      <c r="C31" s="34">
        <v>0</v>
      </c>
      <c r="D31" s="34">
        <v>0</v>
      </c>
      <c r="E31" s="34">
        <v>0</v>
      </c>
      <c r="F31" s="34">
        <v>0</v>
      </c>
      <c r="G31" s="34">
        <v>0</v>
      </c>
      <c r="H31" s="34">
        <v>0</v>
      </c>
      <c r="I31" s="35">
        <v>-1346</v>
      </c>
      <c r="J31" s="35">
        <v>-1477</v>
      </c>
      <c r="K31" s="35">
        <v>-1559</v>
      </c>
      <c r="L31" s="35">
        <v>-1517</v>
      </c>
      <c r="M31" s="35">
        <v>-1924</v>
      </c>
      <c r="N31" s="35">
        <v>-2393</v>
      </c>
    </row>
    <row r="32" spans="2:14" ht="15" thickBot="1" x14ac:dyDescent="0.4">
      <c r="B32" s="33" t="s">
        <v>111</v>
      </c>
      <c r="C32" s="34">
        <v>-450</v>
      </c>
      <c r="D32" s="34">
        <v>-57</v>
      </c>
      <c r="E32" s="34">
        <v>0</v>
      </c>
      <c r="F32" s="34">
        <v>0</v>
      </c>
      <c r="G32" s="34">
        <v>0</v>
      </c>
      <c r="H32" s="34">
        <v>0</v>
      </c>
      <c r="I32" s="34">
        <v>-29</v>
      </c>
      <c r="J32" s="34">
        <v>0</v>
      </c>
      <c r="K32" s="35">
        <v>3750</v>
      </c>
      <c r="L32" s="35">
        <v>3355</v>
      </c>
      <c r="M32" s="35">
        <v>3812</v>
      </c>
      <c r="N32" s="35">
        <v>-1136</v>
      </c>
    </row>
    <row r="33" spans="2:14" x14ac:dyDescent="0.35">
      <c r="B33" s="37" t="s">
        <v>50</v>
      </c>
      <c r="C33" s="38">
        <v>4277</v>
      </c>
      <c r="D33" s="38">
        <v>4500</v>
      </c>
      <c r="E33" s="38">
        <v>-2589</v>
      </c>
      <c r="F33" s="38">
        <v>-3167</v>
      </c>
      <c r="G33" s="42">
        <v>730</v>
      </c>
      <c r="H33" s="38">
        <v>6843</v>
      </c>
      <c r="I33" s="38">
        <v>-3092</v>
      </c>
      <c r="J33" s="38">
        <v>13232</v>
      </c>
      <c r="K33" s="38">
        <v>6459</v>
      </c>
      <c r="L33" s="38">
        <v>-6272</v>
      </c>
      <c r="M33" s="38">
        <v>8128</v>
      </c>
      <c r="N33" s="38">
        <v>-5666</v>
      </c>
    </row>
    <row r="37" spans="2:14" x14ac:dyDescent="0.35">
      <c r="C37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DCF&gt;</vt:lpstr>
      <vt:lpstr>WACC</vt:lpstr>
      <vt:lpstr>Sheet1</vt:lpstr>
      <vt:lpstr>Data&gt;</vt:lpstr>
      <vt:lpstr>Beta Comps</vt:lpstr>
      <vt:lpstr>RM</vt:lpstr>
      <vt:lpstr>Intrinsic Growth</vt:lpstr>
      <vt:lpstr>DCF</vt:lpstr>
      <vt:lpstr>Raw FS</vt:lpstr>
      <vt:lpstr>Historical FS</vt:lpstr>
      <vt:lpstr>Financials&gt;</vt:lpstr>
      <vt:lpstr>Data Room&gt;</vt:lpstr>
      <vt:lpstr>Data Sheet</vt:lpstr>
      <vt:lpstr>Cash Flow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Vaish</dc:creator>
  <cp:lastModifiedBy>Shubham Vaish</cp:lastModifiedBy>
  <cp:lastPrinted>2025-08-02T16:00:14Z</cp:lastPrinted>
  <dcterms:created xsi:type="dcterms:W3CDTF">2025-07-20T08:27:13Z</dcterms:created>
  <dcterms:modified xsi:type="dcterms:W3CDTF">2025-08-02T17:24:01Z</dcterms:modified>
</cp:coreProperties>
</file>